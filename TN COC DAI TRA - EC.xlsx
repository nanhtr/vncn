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NGỌC ÁNH\CÔNG VIỆC\1. DỰ ÁN NOXH - YÊN SỞ\"/>
    </mc:Choice>
  </mc:AlternateContent>
  <xr:revisionPtr revIDLastSave="0" documentId="13_ncr:1_{1442391E-94B1-4484-96BB-72157D04C92B}" xr6:coauthVersionLast="47" xr6:coauthVersionMax="47" xr10:uidLastSave="{00000000-0000-0000-0000-000000000000}"/>
  <bookViews>
    <workbookView xWindow="-120" yWindow="-120" windowWidth="29040" windowHeight="15720" tabRatio="890" xr2:uid="{00000000-000D-0000-FFFF-FFFF00000000}"/>
  </bookViews>
  <sheets>
    <sheet name="THKP hạng mục" sheetId="13" r:id="rId1"/>
    <sheet name="Giá tổng hợp" sheetId="12" r:id="rId2"/>
    <sheet name="Công trình" sheetId="1" r:id="rId3"/>
    <sheet name="Giá tháng" sheetId="2" r:id="rId4"/>
    <sheet name="Đầu vào" sheetId="3" r:id="rId5"/>
    <sheet name="Nhân công" sheetId="4" r:id="rId6"/>
    <sheet name="Máy" sheetId="5" r:id="rId7"/>
    <sheet name="HaoPhiVatTu" sheetId="6" r:id="rId8"/>
    <sheet name="Tổng hợp VT" sheetId="7" r:id="rId9"/>
    <sheet name="THVT gộp" sheetId="8" state="hidden" r:id="rId10"/>
    <sheet name="Cước VC" sheetId="9" state="hidden" r:id="rId11"/>
    <sheet name="Cước bộ" sheetId="10" state="hidden" r:id="rId12"/>
    <sheet name="Đơn giá chi tiết" sheetId="11" r:id="rId13"/>
    <sheet name="TH chi phí XD" sheetId="14" r:id="rId14"/>
    <sheet name="TH chi phí TB" sheetId="15" r:id="rId15"/>
    <sheet name="HM chung" sheetId="16" state="hidden" r:id="rId16"/>
    <sheet name="Bồi thường" sheetId="17" r:id="rId17"/>
    <sheet name="Dự phòng" sheetId="18" r:id="rId18"/>
    <sheet name="TH kinh phí" sheetId="19" r:id="rId19"/>
    <sheet name="Chi tiết KL" sheetId="20" r:id="rId20"/>
    <sheet name="Luật XD" sheetId="21" state="hidden" r:id="rId21"/>
    <sheet name="Công trình TL" sheetId="22" state="hidden" r:id="rId22"/>
    <sheet name="Chiết tính" sheetId="23" state="hidden" r:id="rId23"/>
    <sheet name="Hệ số" sheetId="24" state="hidden" r:id="rId24"/>
    <sheet name="Đơn giá TH" sheetId="25" state="hidden" r:id="rId25"/>
    <sheet name="Dự thầu" sheetId="26" state="hidden" r:id="rId26"/>
    <sheet name="HM chung thầu" sheetId="27" state="hidden" r:id="rId27"/>
    <sheet name="Dự phòng thầu" sheetId="28" state="hidden" r:id="rId28"/>
    <sheet name="Dự toán gói thầu" sheetId="29" state="hidden" r:id="rId29"/>
    <sheet name="Phân tích VT" sheetId="30" state="hidden" r:id="rId30"/>
    <sheet name="Bìa" sheetId="31" r:id="rId31"/>
    <sheet name="NhiênLiệu" sheetId="32" state="hidden" r:id="rId32"/>
    <sheet name="Thẩm định" sheetId="33" state="hidden" r:id="rId33"/>
    <sheet name="TH chi phí tư vấn" sheetId="34" state="hidden" r:id="rId34"/>
    <sheet name="Thép" sheetId="35" state="hidden" r:id="rId35"/>
    <sheet name="HSXL" sheetId="36" r:id="rId36"/>
    <sheet name="Định mức tư vấn" sheetId="37" state="hidden" r:id="rId37"/>
    <sheet name="Quyết toán" sheetId="38" state="hidden" r:id="rId38"/>
    <sheet name="Giá tháng QT" sheetId="39" state="hidden" r:id="rId39"/>
    <sheet name="Đầu vào QT" sheetId="40" state="hidden" r:id="rId40"/>
    <sheet name="Nhân công QT" sheetId="41" state="hidden" r:id="rId41"/>
    <sheet name="Máy QT" sheetId="42" state="hidden" r:id="rId42"/>
    <sheet name="HaoPhiVatTu QT" sheetId="43" state="hidden" r:id="rId43"/>
    <sheet name="Tổng hợp VT QT" sheetId="44" state="hidden" r:id="rId44"/>
    <sheet name="Cước VC QT" sheetId="45" state="hidden" r:id="rId45"/>
    <sheet name="Cước bộ QT" sheetId="46" state="hidden" r:id="rId46"/>
    <sheet name="NhiênLiệu QT" sheetId="47" state="hidden" r:id="rId47"/>
    <sheet name="Chiết tính QT" sheetId="48" state="hidden" r:id="rId48"/>
    <sheet name="Dự thầu QT" sheetId="49" state="hidden" r:id="rId49"/>
    <sheet name="Hệ số QT" sheetId="50" state="hidden" r:id="rId50"/>
    <sheet name="HSXLQT" sheetId="51" state="hidden" r:id="rId51"/>
    <sheet name="KL hoàn thành" sheetId="52" state="hidden" r:id="rId52"/>
    <sheet name="KL phát sinh" sheetId="53" state="hidden" r:id="rId53"/>
    <sheet name="Hệ số Pn" sheetId="54" state="hidden" r:id="rId54"/>
    <sheet name="Tổng hợp QT" sheetId="55" state="hidden" r:id="rId55"/>
    <sheet name="Cấu hình" sheetId="56" state="hidden" r:id="rId56"/>
  </sheets>
  <definedNames>
    <definedName name="_xlnm.Print_Area" localSheetId="30">Bìa!$A$1:$Z$57</definedName>
    <definedName name="_xlnm.Print_Area" localSheetId="16">'Bồi thường'!$A$1:$G$21</definedName>
    <definedName name="_xlnm.Print_Area" localSheetId="2">'Công trình'!$A$1:$X$15</definedName>
    <definedName name="_xlnm.Print_Area" localSheetId="21">'Công trình TL'!$A$1:$O$10</definedName>
    <definedName name="_xlnm.Print_Area" localSheetId="11">'Cước bộ'!$A$1:$V$501</definedName>
    <definedName name="_xlnm.Print_Area" localSheetId="45">'Cước bộ QT'!$A$1:$V$501</definedName>
    <definedName name="_xlnm.Print_Area" localSheetId="10">'Cước VC'!$A$1:$P$501</definedName>
    <definedName name="_xlnm.Print_Area" localSheetId="44">'Cước VC QT'!$A$1:$P$501</definedName>
    <definedName name="_xlnm.Print_Area" localSheetId="19">'Chi tiết KL'!$A$1:$J$20</definedName>
    <definedName name="_xlnm.Print_Area" localSheetId="22">'Chiết tính'!$A$1:$P$64</definedName>
    <definedName name="_xlnm.Print_Area" localSheetId="47">'Chiết tính QT'!$A$1:$P$101</definedName>
    <definedName name="_xlnm.Print_Area" localSheetId="17">'Dự phòng'!$A$1:$I$16</definedName>
    <definedName name="_xlnm.Print_Area" localSheetId="27">'Dự phòng thầu'!$A$1:$I$16</definedName>
    <definedName name="_xlnm.Print_Area" localSheetId="28">'Dự toán gói thầu'!$A$1:$F$18</definedName>
    <definedName name="_xlnm.Print_Area" localSheetId="25">'Dự thầu'!$A$1:$L$16</definedName>
    <definedName name="_xlnm.Print_Area" localSheetId="48">'Dự thầu QT'!$A$1:$P$101</definedName>
    <definedName name="_xlnm.Print_Area" localSheetId="4">'Đầu vào'!$A$1:$D$47</definedName>
    <definedName name="_xlnm.Print_Area" localSheetId="39">'Đầu vào QT'!$A$1:$B$2</definedName>
    <definedName name="_xlnm.Print_Area" localSheetId="36">'Định mức tư vấn'!$A$1:$I$37</definedName>
    <definedName name="_xlnm.Print_Area" localSheetId="12">'Đơn giá chi tiết'!$A$1:$H$34</definedName>
    <definedName name="_xlnm.Print_Area" localSheetId="24">'Đơn giá TH'!$A$1:$O$10</definedName>
    <definedName name="_xlnm.Print_Area" localSheetId="1">'Giá tổng hợp'!$A$1:$L$16</definedName>
    <definedName name="_xlnm.Print_Area" localSheetId="3">'Giá tháng'!$A$1:$G$17</definedName>
    <definedName name="_xlnm.Print_Area" localSheetId="38">'Giá tháng QT'!$A$1:$M$51</definedName>
    <definedName name="_xlnm.Print_Area" localSheetId="7">HaoPhiVatTu!$A$1:$H$31</definedName>
    <definedName name="_xlnm.Print_Area" localSheetId="42">'HaoPhiVatTu QT'!$A$1:$U$51</definedName>
    <definedName name="_xlnm.Print_Area" localSheetId="23">'Hệ số'!$A$1:$H$8</definedName>
    <definedName name="_xlnm.Print_Area" localSheetId="53">'Hệ số Pn'!$A$1:$A$1</definedName>
    <definedName name="_xlnm.Print_Area" localSheetId="49">'Hệ số QT'!$A$1:$N$4001</definedName>
    <definedName name="_xlnm.Print_Area" localSheetId="15">'HM chung'!$A$1:$H$11</definedName>
    <definedName name="_xlnm.Print_Area" localSheetId="26">'HM chung thầu'!$A$1:$H$11</definedName>
    <definedName name="_xlnm.Print_Area" localSheetId="35">HSXL!$A$1:$G$38</definedName>
    <definedName name="_xlnm.Print_Area" localSheetId="50">HSXLQT!$A$1:$G$101</definedName>
    <definedName name="_xlnm.Print_Area" localSheetId="51">'KL hoàn thành'!$A$1:$B$1</definedName>
    <definedName name="_xlnm.Print_Area" localSheetId="52">'KL phát sinh'!$A$1:$B$1</definedName>
    <definedName name="_xlnm.Print_Area" localSheetId="20">'Luật XD'!$A$1:$B$2</definedName>
    <definedName name="_xlnm.Print_Area" localSheetId="6">Máy!$A$1:$K$28</definedName>
    <definedName name="_xlnm.Print_Area" localSheetId="41">'Máy QT'!$A$1:$B$2</definedName>
    <definedName name="_xlnm.Print_Area" localSheetId="5">'Nhân công'!$A$1:$T$10</definedName>
    <definedName name="_xlnm.Print_Area" localSheetId="40">'Nhân công QT'!$A$1:$B$2</definedName>
    <definedName name="_xlnm.Print_Area" localSheetId="31">NhiênLiệu!$A$1:$AF$101</definedName>
    <definedName name="_xlnm.Print_Area" localSheetId="46">'NhiênLiệu QT'!$A$1:$AF$51</definedName>
    <definedName name="_xlnm.Print_Area" localSheetId="29">'Phân tích VT'!$A$1:$L$50001</definedName>
    <definedName name="_xlnm.Print_Area" localSheetId="37">'Quyết toán'!$A$1:$B$2</definedName>
    <definedName name="_xlnm.Print_Area" localSheetId="54">'Tổng hợp QT'!$A$1:$B$11</definedName>
    <definedName name="_xlnm.Print_Area" localSheetId="8">'Tổng hợp VT'!$A$1:$R$33</definedName>
    <definedName name="_xlnm.Print_Area" localSheetId="43">'Tổng hợp VT QT'!$A$1:$W$101</definedName>
    <definedName name="_xlnm.Print_Area" localSheetId="14">'TH chi phí TB'!$A$1:$I$21</definedName>
    <definedName name="_xlnm.Print_Area" localSheetId="33">'TH chi phí tư vấn'!$A$1:$A$1</definedName>
    <definedName name="_xlnm.Print_Area" localSheetId="13">'TH chi phí XD'!$A$1:$F$14</definedName>
    <definedName name="_xlnm.Print_Area" localSheetId="18">'TH kinh phí'!$A$1:$J$98</definedName>
    <definedName name="_xlnm.Print_Area" localSheetId="32">'Thẩm định'!$A$1:$B$11</definedName>
    <definedName name="_xlnm.Print_Area" localSheetId="34">Thép!$A$1:$M$1501</definedName>
    <definedName name="_xlnm.Print_Area" localSheetId="0">'THKP hạng mục'!$A$1:$I$56</definedName>
    <definedName name="_xlnm.Print_Area" localSheetId="9">'THVT gộp'!$A$1:$W$11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56" l="1"/>
  <c r="F37" i="37"/>
  <c r="B37" i="37"/>
  <c r="A37" i="37"/>
  <c r="F36" i="37"/>
  <c r="B36" i="37"/>
  <c r="A36" i="37"/>
  <c r="F35" i="37"/>
  <c r="D81" i="19" s="1"/>
  <c r="B35" i="37"/>
  <c r="A35" i="37"/>
  <c r="F34" i="37"/>
  <c r="B34" i="37"/>
  <c r="A34" i="37"/>
  <c r="F33" i="37"/>
  <c r="B33" i="37"/>
  <c r="A33" i="37"/>
  <c r="F32" i="37"/>
  <c r="B32" i="37"/>
  <c r="A32" i="37"/>
  <c r="F31" i="37"/>
  <c r="B31" i="37"/>
  <c r="A31" i="37"/>
  <c r="B29" i="37"/>
  <c r="A29" i="37"/>
  <c r="B27" i="37"/>
  <c r="A27" i="37"/>
  <c r="F26" i="37"/>
  <c r="B26" i="37"/>
  <c r="A26" i="37"/>
  <c r="F25" i="37"/>
  <c r="D75" i="19" s="1"/>
  <c r="B25" i="37"/>
  <c r="A25" i="37"/>
  <c r="F24" i="37"/>
  <c r="B24" i="37"/>
  <c r="A24" i="37"/>
  <c r="F23" i="37"/>
  <c r="B23" i="37"/>
  <c r="A23" i="37"/>
  <c r="F22" i="37"/>
  <c r="B22" i="37"/>
  <c r="A22" i="37"/>
  <c r="F21" i="37"/>
  <c r="B21" i="37"/>
  <c r="A21" i="37"/>
  <c r="F20" i="37"/>
  <c r="B20" i="37"/>
  <c r="A20" i="37"/>
  <c r="F19" i="37"/>
  <c r="D52" i="19" s="1"/>
  <c r="F52" i="19" s="1"/>
  <c r="B19" i="37"/>
  <c r="A19" i="37"/>
  <c r="F18" i="37"/>
  <c r="B18" i="37"/>
  <c r="A18" i="37"/>
  <c r="F17" i="37"/>
  <c r="B17" i="37"/>
  <c r="A17" i="37"/>
  <c r="F16" i="37"/>
  <c r="B16" i="37"/>
  <c r="A16" i="37"/>
  <c r="F15" i="37"/>
  <c r="D48" i="19" s="1"/>
  <c r="B15" i="37"/>
  <c r="A15" i="37"/>
  <c r="F14" i="37"/>
  <c r="D47" i="19" s="1"/>
  <c r="B14" i="37"/>
  <c r="A14" i="37"/>
  <c r="F13" i="37"/>
  <c r="B13" i="37"/>
  <c r="A13" i="37"/>
  <c r="F12" i="37"/>
  <c r="B12" i="37"/>
  <c r="A12" i="37"/>
  <c r="F11" i="37"/>
  <c r="B11" i="37"/>
  <c r="A11" i="37"/>
  <c r="F10" i="37"/>
  <c r="B10" i="37"/>
  <c r="A10" i="37"/>
  <c r="F9" i="37"/>
  <c r="D39" i="19" s="1"/>
  <c r="F39" i="19" s="1"/>
  <c r="B9" i="37"/>
  <c r="A9" i="37"/>
  <c r="F8" i="37"/>
  <c r="B8" i="37"/>
  <c r="A8" i="37"/>
  <c r="F7" i="37"/>
  <c r="B7" i="37"/>
  <c r="A7" i="37"/>
  <c r="F6" i="37"/>
  <c r="D35" i="19" s="1"/>
  <c r="B6" i="37"/>
  <c r="A6" i="37"/>
  <c r="F5" i="37"/>
  <c r="D34" i="19" s="1"/>
  <c r="B5" i="37"/>
  <c r="A5" i="37"/>
  <c r="F4" i="37"/>
  <c r="B4" i="37"/>
  <c r="A4" i="37"/>
  <c r="F3" i="37"/>
  <c r="D22" i="19" s="1"/>
  <c r="B3" i="37"/>
  <c r="A3" i="37"/>
  <c r="C38" i="36"/>
  <c r="C37" i="36"/>
  <c r="C36" i="36"/>
  <c r="C35" i="36"/>
  <c r="E54" i="23" s="1"/>
  <c r="C34" i="36"/>
  <c r="C33" i="36"/>
  <c r="C32" i="36"/>
  <c r="A22" i="36"/>
  <c r="A21" i="36"/>
  <c r="C19" i="36"/>
  <c r="C18" i="36"/>
  <c r="C31" i="23" s="1"/>
  <c r="C17" i="36"/>
  <c r="C29" i="23" s="1"/>
  <c r="C16" i="36"/>
  <c r="E23" i="23" s="1"/>
  <c r="C15" i="36"/>
  <c r="C14" i="36"/>
  <c r="C13" i="36"/>
  <c r="A3" i="36"/>
  <c r="A2" i="36"/>
  <c r="E38" i="31"/>
  <c r="E37" i="31"/>
  <c r="E36" i="31"/>
  <c r="E35" i="31"/>
  <c r="E34" i="31"/>
  <c r="E20" i="31"/>
  <c r="E19" i="31"/>
  <c r="E18" i="31"/>
  <c r="E17" i="31"/>
  <c r="E16" i="31"/>
  <c r="B16" i="29"/>
  <c r="G15" i="29"/>
  <c r="C15" i="28" s="1"/>
  <c r="E14" i="29"/>
  <c r="B14" i="29"/>
  <c r="A6" i="29"/>
  <c r="D16" i="28"/>
  <c r="C16" i="28"/>
  <c r="E14" i="28"/>
  <c r="E13" i="28"/>
  <c r="I12" i="28"/>
  <c r="H12" i="28"/>
  <c r="E12" i="28"/>
  <c r="D12" i="28"/>
  <c r="C12" i="28"/>
  <c r="F7" i="28"/>
  <c r="F6" i="28"/>
  <c r="F5" i="28"/>
  <c r="F4" i="28"/>
  <c r="G4" i="28" s="1"/>
  <c r="F14" i="28" s="1"/>
  <c r="H14" i="28" s="1"/>
  <c r="A1" i="28"/>
  <c r="J15" i="26"/>
  <c r="D12" i="26"/>
  <c r="C12" i="26"/>
  <c r="B12" i="26"/>
  <c r="A12" i="26"/>
  <c r="L11" i="26"/>
  <c r="K11" i="26"/>
  <c r="E11" i="26"/>
  <c r="D11" i="26"/>
  <c r="C11" i="26"/>
  <c r="B11" i="26"/>
  <c r="A11" i="26"/>
  <c r="A10" i="26"/>
  <c r="A9" i="26"/>
  <c r="A8" i="26"/>
  <c r="D5" i="26"/>
  <c r="C5" i="26"/>
  <c r="B5" i="26"/>
  <c r="A5" i="26"/>
  <c r="J4" i="26"/>
  <c r="J11" i="26" s="1"/>
  <c r="I4" i="26"/>
  <c r="I11" i="26" s="1"/>
  <c r="H4" i="26"/>
  <c r="H11" i="26" s="1"/>
  <c r="G4" i="26"/>
  <c r="G11" i="26" s="1"/>
  <c r="F4" i="26"/>
  <c r="F11" i="26" s="1"/>
  <c r="A3" i="26"/>
  <c r="A2" i="26"/>
  <c r="O10" i="25"/>
  <c r="N10" i="25"/>
  <c r="M10" i="25"/>
  <c r="L10" i="25"/>
  <c r="K10" i="25"/>
  <c r="J10" i="25"/>
  <c r="I10" i="25"/>
  <c r="H10" i="25"/>
  <c r="G10" i="25"/>
  <c r="F10" i="25"/>
  <c r="E10" i="25"/>
  <c r="D10" i="25"/>
  <c r="C10" i="25"/>
  <c r="B10" i="25"/>
  <c r="A10" i="25"/>
  <c r="O9" i="25"/>
  <c r="N9" i="25"/>
  <c r="M9" i="25"/>
  <c r="L9" i="25"/>
  <c r="K9" i="25"/>
  <c r="J9" i="25"/>
  <c r="I9" i="25"/>
  <c r="H9" i="25"/>
  <c r="G9" i="25"/>
  <c r="F9" i="25"/>
  <c r="D9" i="25"/>
  <c r="C9" i="25"/>
  <c r="B9" i="25"/>
  <c r="A9" i="25"/>
  <c r="O4" i="25"/>
  <c r="J4" i="25"/>
  <c r="E4" i="25"/>
  <c r="E9" i="25" s="1"/>
  <c r="G8" i="24"/>
  <c r="F8" i="24"/>
  <c r="E8" i="24"/>
  <c r="D8" i="24"/>
  <c r="C8" i="24"/>
  <c r="B8" i="24"/>
  <c r="A8" i="24"/>
  <c r="A7" i="24"/>
  <c r="A6" i="24"/>
  <c r="A5" i="24"/>
  <c r="H4" i="24"/>
  <c r="H8" i="24" s="1"/>
  <c r="A3" i="24"/>
  <c r="A2" i="24"/>
  <c r="D64" i="23"/>
  <c r="E62" i="23"/>
  <c r="C62" i="23"/>
  <c r="E60" i="23"/>
  <c r="C60" i="23"/>
  <c r="D58" i="23"/>
  <c r="C54" i="23"/>
  <c r="E53" i="23"/>
  <c r="C53" i="23"/>
  <c r="E52" i="23"/>
  <c r="C52" i="23"/>
  <c r="E48" i="23"/>
  <c r="G47" i="23"/>
  <c r="E47" i="23"/>
  <c r="D47" i="23"/>
  <c r="C47" i="23"/>
  <c r="B47" i="23"/>
  <c r="G46" i="23"/>
  <c r="E46" i="23"/>
  <c r="D46" i="23"/>
  <c r="C46" i="23"/>
  <c r="B46" i="23"/>
  <c r="G44" i="23"/>
  <c r="E44" i="23"/>
  <c r="D44" i="23"/>
  <c r="C44" i="23"/>
  <c r="B44" i="23"/>
  <c r="G41" i="23"/>
  <c r="E41" i="23"/>
  <c r="D41" i="23"/>
  <c r="C41" i="23"/>
  <c r="B41" i="23"/>
  <c r="G40" i="23"/>
  <c r="E40" i="23"/>
  <c r="D40" i="23"/>
  <c r="C40" i="23"/>
  <c r="B40" i="23"/>
  <c r="D38" i="23"/>
  <c r="C38" i="23"/>
  <c r="B38" i="23"/>
  <c r="A38" i="23"/>
  <c r="G37" i="23"/>
  <c r="E37" i="23"/>
  <c r="D37" i="23"/>
  <c r="C37" i="23"/>
  <c r="B37" i="23"/>
  <c r="A37" i="23"/>
  <c r="A36" i="23"/>
  <c r="A35" i="23"/>
  <c r="A34" i="23"/>
  <c r="D33" i="23"/>
  <c r="E31" i="23"/>
  <c r="E29" i="23"/>
  <c r="D27" i="23"/>
  <c r="E17" i="23"/>
  <c r="G16" i="23"/>
  <c r="E16" i="23"/>
  <c r="D16" i="23"/>
  <c r="C16" i="23"/>
  <c r="B16" i="23"/>
  <c r="G13" i="23"/>
  <c r="E13" i="23"/>
  <c r="D13" i="23"/>
  <c r="C13" i="23"/>
  <c r="B13" i="23"/>
  <c r="G12" i="23"/>
  <c r="E12" i="23"/>
  <c r="D12" i="23"/>
  <c r="C12" i="23"/>
  <c r="B12" i="23"/>
  <c r="E9" i="23"/>
  <c r="G8" i="23"/>
  <c r="E8" i="23"/>
  <c r="D8" i="23"/>
  <c r="C8" i="23"/>
  <c r="B8" i="23"/>
  <c r="G7" i="23"/>
  <c r="E7" i="23"/>
  <c r="D7" i="23"/>
  <c r="C7" i="23"/>
  <c r="B7" i="23"/>
  <c r="D5" i="23"/>
  <c r="C5" i="23"/>
  <c r="B5" i="23"/>
  <c r="A5" i="23"/>
  <c r="H4" i="23"/>
  <c r="H37" i="23" s="1"/>
  <c r="F4" i="23"/>
  <c r="F37" i="23" s="1"/>
  <c r="A3" i="23"/>
  <c r="A2" i="23"/>
  <c r="R10" i="22"/>
  <c r="Q10" i="22"/>
  <c r="P10" i="22"/>
  <c r="O10" i="22"/>
  <c r="N10" i="22"/>
  <c r="M10" i="22"/>
  <c r="L10" i="22"/>
  <c r="K10" i="22"/>
  <c r="J10" i="22"/>
  <c r="I10" i="22"/>
  <c r="H10" i="22"/>
  <c r="G10" i="22"/>
  <c r="F10" i="22"/>
  <c r="E10" i="22"/>
  <c r="D10" i="22"/>
  <c r="C10" i="22"/>
  <c r="B10" i="22"/>
  <c r="A10" i="22"/>
  <c r="R9" i="22"/>
  <c r="Q9" i="22"/>
  <c r="P9" i="22"/>
  <c r="O9" i="22"/>
  <c r="N9" i="22"/>
  <c r="M9" i="22"/>
  <c r="L9" i="22"/>
  <c r="J9" i="22"/>
  <c r="I9" i="22"/>
  <c r="H9" i="22"/>
  <c r="G9" i="22"/>
  <c r="E9" i="22"/>
  <c r="D9" i="22"/>
  <c r="C9" i="22"/>
  <c r="B9" i="22"/>
  <c r="A9" i="22"/>
  <c r="A8" i="22"/>
  <c r="A7" i="22"/>
  <c r="A6" i="22"/>
  <c r="K4" i="22"/>
  <c r="K9" i="22" s="1"/>
  <c r="F4" i="22"/>
  <c r="F9" i="22" s="1"/>
  <c r="A3" i="22"/>
  <c r="A2" i="22"/>
  <c r="A20" i="20"/>
  <c r="G18" i="20"/>
  <c r="F18" i="20"/>
  <c r="G17" i="20"/>
  <c r="E16" i="20"/>
  <c r="D16" i="20"/>
  <c r="C16" i="20"/>
  <c r="B16" i="20"/>
  <c r="A16" i="20"/>
  <c r="J15" i="20"/>
  <c r="I15" i="20"/>
  <c r="H15" i="20"/>
  <c r="G15" i="20"/>
  <c r="F15" i="20"/>
  <c r="E15" i="20"/>
  <c r="D15" i="20"/>
  <c r="C15" i="20"/>
  <c r="B15" i="20"/>
  <c r="A15" i="20"/>
  <c r="J14" i="20"/>
  <c r="I14" i="20"/>
  <c r="H14" i="20"/>
  <c r="G14" i="20"/>
  <c r="F14" i="20"/>
  <c r="E14" i="20"/>
  <c r="D14" i="20"/>
  <c r="C14" i="20"/>
  <c r="B14" i="20"/>
  <c r="A14" i="20"/>
  <c r="A12" i="20"/>
  <c r="A11" i="20"/>
  <c r="A10" i="20"/>
  <c r="H8" i="20"/>
  <c r="G8" i="20"/>
  <c r="F8" i="20"/>
  <c r="I8" i="20" s="1"/>
  <c r="H7" i="20"/>
  <c r="G7" i="20"/>
  <c r="E6" i="20"/>
  <c r="D6" i="20"/>
  <c r="C6" i="20"/>
  <c r="B6" i="20"/>
  <c r="A6" i="20"/>
  <c r="F97" i="19"/>
  <c r="F96" i="19"/>
  <c r="H95" i="19"/>
  <c r="I95" i="19" s="1"/>
  <c r="F95" i="19"/>
  <c r="H94" i="19"/>
  <c r="I94" i="19" s="1"/>
  <c r="F94" i="19"/>
  <c r="H93" i="19"/>
  <c r="I93" i="19" s="1"/>
  <c r="F93" i="19"/>
  <c r="H92" i="19"/>
  <c r="I92" i="19" s="1"/>
  <c r="F92" i="19"/>
  <c r="F91" i="19"/>
  <c r="F90" i="19"/>
  <c r="F88" i="19"/>
  <c r="F86" i="19"/>
  <c r="F85" i="19"/>
  <c r="F84" i="19"/>
  <c r="F83" i="19"/>
  <c r="D83" i="19"/>
  <c r="I82" i="19"/>
  <c r="F82" i="19"/>
  <c r="F81" i="19"/>
  <c r="I80" i="19"/>
  <c r="F80" i="19"/>
  <c r="I79" i="19"/>
  <c r="F79" i="19"/>
  <c r="D79" i="19"/>
  <c r="G78" i="19"/>
  <c r="H78" i="19" s="1"/>
  <c r="I78" i="19" s="1"/>
  <c r="F78" i="19"/>
  <c r="H77" i="19"/>
  <c r="I77" i="19" s="1"/>
  <c r="F77" i="19"/>
  <c r="H76" i="19"/>
  <c r="I76" i="19" s="1"/>
  <c r="F76" i="19"/>
  <c r="D76" i="19"/>
  <c r="G75" i="19"/>
  <c r="F75" i="19"/>
  <c r="D74" i="19"/>
  <c r="F74" i="19" s="1"/>
  <c r="H73" i="19"/>
  <c r="I73" i="19" s="1"/>
  <c r="F73" i="19"/>
  <c r="H72" i="19"/>
  <c r="F72" i="19"/>
  <c r="F71" i="19"/>
  <c r="H70" i="19"/>
  <c r="I70" i="19" s="1"/>
  <c r="F70" i="19"/>
  <c r="H69" i="19"/>
  <c r="I69" i="19" s="1"/>
  <c r="F69" i="19"/>
  <c r="F68" i="19"/>
  <c r="D67" i="19"/>
  <c r="F67" i="19" s="1"/>
  <c r="F66" i="19"/>
  <c r="F65" i="19"/>
  <c r="D64" i="19"/>
  <c r="F64" i="19" s="1"/>
  <c r="D63" i="19"/>
  <c r="F54" i="19"/>
  <c r="D53" i="19"/>
  <c r="G52" i="19"/>
  <c r="D51" i="19"/>
  <c r="G51" i="19" s="1"/>
  <c r="D50" i="19"/>
  <c r="D49" i="19"/>
  <c r="G48" i="19"/>
  <c r="H48" i="19" s="1"/>
  <c r="F48" i="19"/>
  <c r="H46" i="19"/>
  <c r="I46" i="19" s="1"/>
  <c r="F46" i="19"/>
  <c r="F45" i="19"/>
  <c r="F44" i="19"/>
  <c r="D43" i="19"/>
  <c r="D42" i="19"/>
  <c r="F41" i="19"/>
  <c r="D40" i="19"/>
  <c r="F40" i="19" s="1"/>
  <c r="D38" i="19"/>
  <c r="D37" i="19"/>
  <c r="D36" i="19"/>
  <c r="F35" i="19"/>
  <c r="G33" i="19"/>
  <c r="H33" i="19" s="1"/>
  <c r="F33" i="19"/>
  <c r="H32" i="19"/>
  <c r="I32" i="19" s="1"/>
  <c r="F32" i="19"/>
  <c r="H31" i="19"/>
  <c r="F31" i="19"/>
  <c r="H30" i="19"/>
  <c r="F30" i="19"/>
  <c r="F28" i="19"/>
  <c r="B27" i="19"/>
  <c r="B26" i="19"/>
  <c r="F25" i="19"/>
  <c r="F24" i="19"/>
  <c r="D23" i="19"/>
  <c r="F22" i="19"/>
  <c r="F21" i="19"/>
  <c r="F20" i="19"/>
  <c r="I19" i="19"/>
  <c r="F19" i="19"/>
  <c r="F18" i="19"/>
  <c r="F17" i="19"/>
  <c r="F16" i="19"/>
  <c r="F15" i="19"/>
  <c r="K14" i="19"/>
  <c r="H14" i="19"/>
  <c r="F14" i="19"/>
  <c r="F13" i="19"/>
  <c r="H12" i="19"/>
  <c r="F12" i="19"/>
  <c r="A10" i="19"/>
  <c r="D16" i="18"/>
  <c r="E14" i="18"/>
  <c r="E13" i="18"/>
  <c r="I12" i="18"/>
  <c r="H12" i="18"/>
  <c r="E12" i="18"/>
  <c r="D12" i="18"/>
  <c r="C12" i="18"/>
  <c r="F7" i="18"/>
  <c r="F6" i="18"/>
  <c r="F5" i="18"/>
  <c r="F4" i="18"/>
  <c r="A1" i="18"/>
  <c r="G19" i="17"/>
  <c r="G18" i="17"/>
  <c r="G17" i="17"/>
  <c r="G16" i="17"/>
  <c r="G15" i="17"/>
  <c r="G14" i="17"/>
  <c r="G13" i="17"/>
  <c r="G12" i="17"/>
  <c r="G11" i="17"/>
  <c r="G10" i="17"/>
  <c r="G9" i="17"/>
  <c r="G8" i="17"/>
  <c r="G7" i="17"/>
  <c r="G6" i="17"/>
  <c r="I4" i="17"/>
  <c r="G4" i="17"/>
  <c r="E4" i="17"/>
  <c r="A2" i="17"/>
  <c r="F19" i="15"/>
  <c r="F18" i="15"/>
  <c r="F17" i="15"/>
  <c r="F16" i="15"/>
  <c r="F15" i="15"/>
  <c r="F14" i="15"/>
  <c r="F13" i="15"/>
  <c r="F12" i="15"/>
  <c r="F11" i="15"/>
  <c r="F10" i="15"/>
  <c r="F9" i="15"/>
  <c r="H9" i="15" s="1"/>
  <c r="F8" i="15"/>
  <c r="F7" i="15"/>
  <c r="F6" i="15"/>
  <c r="H5" i="15"/>
  <c r="I4" i="15"/>
  <c r="F4" i="15"/>
  <c r="E4" i="15"/>
  <c r="A2" i="15"/>
  <c r="E12" i="14"/>
  <c r="E13" i="14" s="1"/>
  <c r="D12" i="14"/>
  <c r="C12" i="14"/>
  <c r="G14" i="19" s="1"/>
  <c r="A3" i="14"/>
  <c r="A2" i="14"/>
  <c r="I54" i="13"/>
  <c r="D54" i="13"/>
  <c r="A54" i="13"/>
  <c r="G52" i="13"/>
  <c r="E52" i="13" s="1"/>
  <c r="D52" i="13"/>
  <c r="A51" i="13"/>
  <c r="G50" i="13"/>
  <c r="E50" i="13"/>
  <c r="D50" i="13"/>
  <c r="A49" i="13"/>
  <c r="I48" i="13"/>
  <c r="A48" i="13"/>
  <c r="D45" i="13"/>
  <c r="G44" i="13"/>
  <c r="D44" i="13"/>
  <c r="G43" i="13"/>
  <c r="D43" i="13"/>
  <c r="G42" i="13"/>
  <c r="D42" i="13"/>
  <c r="A40" i="13"/>
  <c r="D38" i="13"/>
  <c r="D36" i="13"/>
  <c r="D34" i="13"/>
  <c r="I32" i="13"/>
  <c r="G32" i="13"/>
  <c r="F32" i="13"/>
  <c r="E32" i="13"/>
  <c r="D32" i="13"/>
  <c r="C32" i="13"/>
  <c r="B32" i="13"/>
  <c r="A32" i="13"/>
  <c r="A30" i="13"/>
  <c r="A29" i="13"/>
  <c r="I26" i="13"/>
  <c r="D26" i="13"/>
  <c r="A26" i="13"/>
  <c r="G24" i="13"/>
  <c r="E24" i="13"/>
  <c r="D24" i="13"/>
  <c r="A23" i="13"/>
  <c r="G22" i="13"/>
  <c r="E22" i="13" s="1"/>
  <c r="D22" i="13"/>
  <c r="A21" i="13"/>
  <c r="I20" i="13"/>
  <c r="A20" i="13"/>
  <c r="D17" i="13"/>
  <c r="G15" i="13"/>
  <c r="D15" i="13"/>
  <c r="G14" i="13"/>
  <c r="D14" i="13"/>
  <c r="A12" i="13"/>
  <c r="D10" i="13"/>
  <c r="D8" i="13"/>
  <c r="D6" i="13"/>
  <c r="H4" i="13"/>
  <c r="H32" i="13" s="1"/>
  <c r="L16" i="12"/>
  <c r="K16" i="12"/>
  <c r="J16" i="12"/>
  <c r="I16" i="12"/>
  <c r="D13" i="12"/>
  <c r="C13" i="12"/>
  <c r="B13" i="12"/>
  <c r="A13" i="12"/>
  <c r="L12" i="12"/>
  <c r="K12" i="12"/>
  <c r="J12" i="12"/>
  <c r="I12" i="12"/>
  <c r="H12" i="12"/>
  <c r="G12" i="12"/>
  <c r="F12" i="12"/>
  <c r="E12" i="12"/>
  <c r="D12" i="12"/>
  <c r="C12" i="12"/>
  <c r="B12" i="12"/>
  <c r="A12" i="12"/>
  <c r="K11" i="12"/>
  <c r="J11" i="12"/>
  <c r="H11" i="12"/>
  <c r="G11" i="12"/>
  <c r="E11" i="12"/>
  <c r="D11" i="12"/>
  <c r="C11" i="12"/>
  <c r="B11" i="12"/>
  <c r="A11" i="12"/>
  <c r="A10" i="12"/>
  <c r="A9" i="12"/>
  <c r="A8" i="12"/>
  <c r="D6" i="12"/>
  <c r="C6" i="12"/>
  <c r="B6" i="12"/>
  <c r="A6" i="12"/>
  <c r="L4" i="12"/>
  <c r="L11" i="12" s="1"/>
  <c r="I4" i="12"/>
  <c r="I11" i="12" s="1"/>
  <c r="F4" i="12"/>
  <c r="F11" i="12" s="1"/>
  <c r="A3" i="12"/>
  <c r="A2" i="12"/>
  <c r="E33" i="11"/>
  <c r="G32" i="11"/>
  <c r="E32" i="11"/>
  <c r="D32" i="11"/>
  <c r="C32" i="11"/>
  <c r="B32" i="11"/>
  <c r="G31" i="11"/>
  <c r="E31" i="11"/>
  <c r="D31" i="11"/>
  <c r="C31" i="11"/>
  <c r="B31" i="11"/>
  <c r="G29" i="11"/>
  <c r="E29" i="11"/>
  <c r="D29" i="11"/>
  <c r="C29" i="11"/>
  <c r="B29" i="11"/>
  <c r="G26" i="11"/>
  <c r="E26" i="11"/>
  <c r="D26" i="11"/>
  <c r="C26" i="11"/>
  <c r="B26" i="11"/>
  <c r="G25" i="11"/>
  <c r="E25" i="11"/>
  <c r="D25" i="11"/>
  <c r="C25" i="11"/>
  <c r="B25" i="11"/>
  <c r="D23" i="11"/>
  <c r="C23" i="11"/>
  <c r="B23" i="11"/>
  <c r="A23" i="11"/>
  <c r="G22" i="11"/>
  <c r="E22" i="11"/>
  <c r="D22" i="11"/>
  <c r="C22" i="11"/>
  <c r="B22" i="11"/>
  <c r="A22" i="11"/>
  <c r="A21" i="11"/>
  <c r="A20" i="11"/>
  <c r="A19" i="11"/>
  <c r="E17" i="11"/>
  <c r="G16" i="11"/>
  <c r="E16" i="11"/>
  <c r="D16" i="11"/>
  <c r="C16" i="11"/>
  <c r="B16" i="11"/>
  <c r="G13" i="11"/>
  <c r="E13" i="11"/>
  <c r="D13" i="11"/>
  <c r="C13" i="11"/>
  <c r="B13" i="11"/>
  <c r="G12" i="11"/>
  <c r="E12" i="11"/>
  <c r="D12" i="11"/>
  <c r="C12" i="11"/>
  <c r="B12" i="11"/>
  <c r="E9" i="11"/>
  <c r="G8" i="11"/>
  <c r="E8" i="11"/>
  <c r="D8" i="11"/>
  <c r="C8" i="11"/>
  <c r="B8" i="11"/>
  <c r="G7" i="11"/>
  <c r="E7" i="11"/>
  <c r="D7" i="11"/>
  <c r="C7" i="11"/>
  <c r="B7" i="11"/>
  <c r="D5" i="11"/>
  <c r="C5" i="11"/>
  <c r="B5" i="11"/>
  <c r="A5" i="11"/>
  <c r="H4" i="11"/>
  <c r="H22" i="11" s="1"/>
  <c r="F4" i="11"/>
  <c r="F22" i="11" s="1"/>
  <c r="A3" i="11"/>
  <c r="A2" i="11"/>
  <c r="S31" i="7"/>
  <c r="F31" i="7"/>
  <c r="D31" i="7"/>
  <c r="C31" i="7"/>
  <c r="B31" i="7"/>
  <c r="S30" i="7"/>
  <c r="F30" i="7"/>
  <c r="D30" i="7"/>
  <c r="C30" i="7"/>
  <c r="B30" i="7"/>
  <c r="N28" i="7"/>
  <c r="S27" i="7"/>
  <c r="F27" i="7"/>
  <c r="D27" i="7"/>
  <c r="C27" i="7"/>
  <c r="B27" i="7"/>
  <c r="S24" i="7"/>
  <c r="O24" i="7"/>
  <c r="M24" i="7"/>
  <c r="H24" i="7"/>
  <c r="K24" i="7" s="1"/>
  <c r="F24" i="7"/>
  <c r="D24" i="7"/>
  <c r="C24" i="7"/>
  <c r="B24" i="7"/>
  <c r="S23" i="7"/>
  <c r="M23" i="7"/>
  <c r="H23" i="7"/>
  <c r="F23" i="7"/>
  <c r="D23" i="7"/>
  <c r="C23" i="7"/>
  <c r="B23" i="7"/>
  <c r="S21" i="7"/>
  <c r="J21" i="7"/>
  <c r="E21" i="7"/>
  <c r="D21" i="7"/>
  <c r="C21" i="7"/>
  <c r="B21" i="7"/>
  <c r="A21" i="7"/>
  <c r="A20" i="7"/>
  <c r="A19" i="7"/>
  <c r="A18" i="7"/>
  <c r="S15" i="7"/>
  <c r="F15" i="7"/>
  <c r="D15" i="7"/>
  <c r="C15" i="7"/>
  <c r="B15" i="7"/>
  <c r="N13" i="7"/>
  <c r="S12" i="7"/>
  <c r="F12" i="7"/>
  <c r="D12" i="7"/>
  <c r="C12" i="7"/>
  <c r="B12" i="7"/>
  <c r="S11" i="7"/>
  <c r="F11" i="7"/>
  <c r="D11" i="7"/>
  <c r="C11" i="7"/>
  <c r="B11" i="7"/>
  <c r="S7" i="7"/>
  <c r="M7" i="7"/>
  <c r="H7" i="7"/>
  <c r="F7" i="7"/>
  <c r="D7" i="7"/>
  <c r="C7" i="7"/>
  <c r="B7" i="7"/>
  <c r="S6" i="7"/>
  <c r="M6" i="7"/>
  <c r="H6" i="7"/>
  <c r="F6" i="7"/>
  <c r="D6" i="7"/>
  <c r="C6" i="7"/>
  <c r="B6" i="7"/>
  <c r="R4" i="7"/>
  <c r="R21" i="7" s="1"/>
  <c r="Q4" i="7"/>
  <c r="Q21" i="7" s="1"/>
  <c r="P4" i="7"/>
  <c r="P21" i="7" s="1"/>
  <c r="O4" i="7"/>
  <c r="O21" i="7" s="1"/>
  <c r="N4" i="7"/>
  <c r="N21" i="7" s="1"/>
  <c r="M4" i="7"/>
  <c r="M21" i="7" s="1"/>
  <c r="L4" i="7"/>
  <c r="L21" i="7" s="1"/>
  <c r="K4" i="7"/>
  <c r="K21" i="7" s="1"/>
  <c r="I4" i="7"/>
  <c r="I21" i="7" s="1"/>
  <c r="H4" i="7"/>
  <c r="H21" i="7" s="1"/>
  <c r="G4" i="7"/>
  <c r="G21" i="7" s="1"/>
  <c r="F4" i="7"/>
  <c r="F21" i="7" s="1"/>
  <c r="A3" i="7"/>
  <c r="A2" i="7"/>
  <c r="G30" i="6"/>
  <c r="D30" i="6"/>
  <c r="C30" i="6"/>
  <c r="B30" i="6"/>
  <c r="G29" i="6"/>
  <c r="D29" i="6"/>
  <c r="C29" i="6"/>
  <c r="B29" i="6"/>
  <c r="G27" i="6"/>
  <c r="D27" i="6"/>
  <c r="C27" i="6"/>
  <c r="B27" i="6"/>
  <c r="G25" i="6"/>
  <c r="D25" i="6"/>
  <c r="C25" i="6"/>
  <c r="B25" i="6"/>
  <c r="G24" i="6"/>
  <c r="D24" i="6"/>
  <c r="C24" i="6"/>
  <c r="B24" i="6"/>
  <c r="D22" i="6"/>
  <c r="C22" i="6"/>
  <c r="B22" i="6"/>
  <c r="A22" i="6"/>
  <c r="H21" i="6"/>
  <c r="G21" i="6"/>
  <c r="F21" i="6"/>
  <c r="E21" i="6"/>
  <c r="D21" i="6"/>
  <c r="C21" i="6"/>
  <c r="B21" i="6"/>
  <c r="A21" i="6"/>
  <c r="H20" i="6"/>
  <c r="G20" i="6"/>
  <c r="F20" i="6"/>
  <c r="E20" i="6"/>
  <c r="D20" i="6"/>
  <c r="C20" i="6"/>
  <c r="B20" i="6"/>
  <c r="A20" i="6"/>
  <c r="S19" i="6"/>
  <c r="P19" i="6"/>
  <c r="O19" i="6"/>
  <c r="N19" i="6"/>
  <c r="M19" i="6"/>
  <c r="A19" i="6"/>
  <c r="M18" i="6"/>
  <c r="A18" i="6"/>
  <c r="A17" i="6"/>
  <c r="G15" i="6"/>
  <c r="D15" i="6"/>
  <c r="C15" i="6"/>
  <c r="B15" i="6"/>
  <c r="G13" i="6"/>
  <c r="D13" i="6"/>
  <c r="C13" i="6"/>
  <c r="B13" i="6"/>
  <c r="G12" i="6"/>
  <c r="D12" i="6"/>
  <c r="C12" i="6"/>
  <c r="B12" i="6"/>
  <c r="G9" i="6"/>
  <c r="D9" i="6"/>
  <c r="C9" i="6"/>
  <c r="B9" i="6"/>
  <c r="G8" i="6"/>
  <c r="D8" i="6"/>
  <c r="C8" i="6"/>
  <c r="B8" i="6"/>
  <c r="D6" i="6"/>
  <c r="C6" i="6"/>
  <c r="B6" i="6"/>
  <c r="A6" i="6"/>
  <c r="A3" i="6"/>
  <c r="A2" i="6"/>
  <c r="H28" i="5"/>
  <c r="K28" i="5" s="1"/>
  <c r="H27" i="5"/>
  <c r="K27" i="5" s="1"/>
  <c r="I26" i="5"/>
  <c r="H26" i="5"/>
  <c r="K26" i="5" s="1"/>
  <c r="K25" i="5" s="1"/>
  <c r="K24" i="5"/>
  <c r="I21" i="5"/>
  <c r="H21" i="5"/>
  <c r="K21" i="5" s="1"/>
  <c r="K20" i="5" s="1"/>
  <c r="D21" i="5"/>
  <c r="C21" i="5"/>
  <c r="D19" i="5"/>
  <c r="C19" i="5"/>
  <c r="B19" i="5"/>
  <c r="H18" i="5"/>
  <c r="K18" i="5" s="1"/>
  <c r="H17" i="5"/>
  <c r="K17" i="5" s="1"/>
  <c r="I16" i="5"/>
  <c r="H16" i="5"/>
  <c r="K14" i="5"/>
  <c r="D11" i="5"/>
  <c r="C11" i="5"/>
  <c r="B11" i="5"/>
  <c r="H10" i="5"/>
  <c r="K10" i="5" s="1"/>
  <c r="H9" i="5"/>
  <c r="K9" i="5" s="1"/>
  <c r="I8" i="5"/>
  <c r="H8" i="5"/>
  <c r="K8" i="5" s="1"/>
  <c r="D6" i="5"/>
  <c r="C6" i="5"/>
  <c r="B6" i="5"/>
  <c r="K5" i="5"/>
  <c r="H5" i="5"/>
  <c r="E5" i="5"/>
  <c r="A4" i="5"/>
  <c r="A3" i="5"/>
  <c r="D10" i="4"/>
  <c r="C10" i="4"/>
  <c r="B10" i="4"/>
  <c r="D9" i="4"/>
  <c r="C9" i="4"/>
  <c r="B9" i="4"/>
  <c r="D8" i="4"/>
  <c r="C8" i="4"/>
  <c r="B8" i="4"/>
  <c r="R7" i="4"/>
  <c r="Q7" i="4"/>
  <c r="P7" i="4"/>
  <c r="O7" i="4"/>
  <c r="N7" i="4"/>
  <c r="M7" i="4"/>
  <c r="L7" i="4"/>
  <c r="K7" i="4"/>
  <c r="J7" i="4"/>
  <c r="I7" i="4"/>
  <c r="R6" i="4"/>
  <c r="Q6" i="4"/>
  <c r="P6" i="4"/>
  <c r="O6" i="4"/>
  <c r="N6" i="4"/>
  <c r="M6" i="4"/>
  <c r="L6" i="4"/>
  <c r="K6" i="4"/>
  <c r="J6" i="4"/>
  <c r="I6" i="4"/>
  <c r="I5" i="4"/>
  <c r="A4" i="4"/>
  <c r="A3" i="4"/>
  <c r="E40" i="3"/>
  <c r="K23" i="5" s="1"/>
  <c r="K22" i="5" s="1"/>
  <c r="E39" i="3"/>
  <c r="D22" i="3"/>
  <c r="A2" i="3"/>
  <c r="I4" i="2"/>
  <c r="F4" i="2"/>
  <c r="E4" i="2"/>
  <c r="A2" i="2"/>
  <c r="O14" i="1"/>
  <c r="H18" i="20" s="1"/>
  <c r="I18" i="20" s="1"/>
  <c r="O13" i="1"/>
  <c r="H17" i="20" s="1"/>
  <c r="I17" i="20" s="1"/>
  <c r="H13" i="1"/>
  <c r="F17" i="20" s="1"/>
  <c r="O9" i="1"/>
  <c r="N9" i="1"/>
  <c r="M9" i="1"/>
  <c r="H8" i="1"/>
  <c r="U4" i="1"/>
  <c r="Q4" i="1"/>
  <c r="I48" i="19" l="1"/>
  <c r="K13" i="5"/>
  <c r="K12" i="5" s="1"/>
  <c r="I91" i="19"/>
  <c r="K16" i="5"/>
  <c r="K15" i="5" s="1"/>
  <c r="G4" i="18"/>
  <c r="G20" i="17"/>
  <c r="E21" i="23"/>
  <c r="C21" i="23"/>
  <c r="C22" i="23"/>
  <c r="E22" i="23"/>
  <c r="F53" i="19"/>
  <c r="G53" i="19"/>
  <c r="H53" i="19" s="1"/>
  <c r="I53" i="19" s="1"/>
  <c r="F43" i="19"/>
  <c r="G43" i="19"/>
  <c r="H43" i="19" s="1"/>
  <c r="I43" i="19" s="1"/>
  <c r="H13" i="19"/>
  <c r="I14" i="19"/>
  <c r="I13" i="19" s="1"/>
  <c r="H18" i="15"/>
  <c r="I18" i="15"/>
  <c r="H14" i="15"/>
  <c r="I14" i="15" s="1"/>
  <c r="H10" i="15"/>
  <c r="I10" i="15" s="1"/>
  <c r="H6" i="15"/>
  <c r="I6" i="15" s="1"/>
  <c r="K23" i="7"/>
  <c r="O23" i="7"/>
  <c r="K7" i="7"/>
  <c r="O7" i="7"/>
  <c r="R10" i="4"/>
  <c r="R9" i="4"/>
  <c r="R8" i="4"/>
  <c r="Q9" i="4"/>
  <c r="Q10" i="4"/>
  <c r="O9" i="4"/>
  <c r="O8" i="4"/>
  <c r="L8" i="4"/>
  <c r="L9" i="4"/>
  <c r="L10" i="4"/>
  <c r="K8" i="4"/>
  <c r="K9" i="4"/>
  <c r="J10" i="4"/>
  <c r="J9" i="4"/>
  <c r="O8" i="1"/>
  <c r="P7" i="1" s="1"/>
  <c r="F7" i="20"/>
  <c r="I7" i="20" s="1"/>
  <c r="N8" i="1"/>
  <c r="N7" i="1" s="1"/>
  <c r="M8" i="1"/>
  <c r="M7" i="1" s="1"/>
  <c r="K7" i="5"/>
  <c r="K6" i="5" s="1"/>
  <c r="F15" i="2" s="1"/>
  <c r="H15" i="7" s="1"/>
  <c r="K19" i="5"/>
  <c r="F17" i="2" s="1"/>
  <c r="H31" i="7" s="1"/>
  <c r="H51" i="19"/>
  <c r="I51" i="19" s="1"/>
  <c r="O10" i="4"/>
  <c r="H75" i="19"/>
  <c r="I75" i="19" s="1"/>
  <c r="H16" i="15"/>
  <c r="I16" i="15" s="1"/>
  <c r="G63" i="19"/>
  <c r="F63" i="19"/>
  <c r="H91" i="19"/>
  <c r="E15" i="28"/>
  <c r="E16" i="28" s="1"/>
  <c r="H11" i="15"/>
  <c r="I11" i="15" s="1"/>
  <c r="F36" i="19"/>
  <c r="Q24" i="7"/>
  <c r="F41" i="23"/>
  <c r="H41" i="23" s="1"/>
  <c r="F26" i="11"/>
  <c r="H26" i="11" s="1"/>
  <c r="F37" i="19"/>
  <c r="F34" i="19"/>
  <c r="H12" i="15"/>
  <c r="I12" i="15" s="1"/>
  <c r="H17" i="15"/>
  <c r="I17" i="15" s="1"/>
  <c r="F23" i="19"/>
  <c r="G42" i="19"/>
  <c r="F42" i="19"/>
  <c r="F51" i="19"/>
  <c r="I72" i="19"/>
  <c r="F13" i="28"/>
  <c r="H13" i="28" s="1"/>
  <c r="I13" i="28" s="1"/>
  <c r="I14" i="28" s="1"/>
  <c r="I15" i="28" s="1"/>
  <c r="H16" i="28" s="1"/>
  <c r="E15" i="29" s="1"/>
  <c r="E13" i="29" s="1"/>
  <c r="J8" i="4"/>
  <c r="G74" i="19"/>
  <c r="G13" i="19"/>
  <c r="H7" i="15"/>
  <c r="I7" i="15" s="1"/>
  <c r="I12" i="19"/>
  <c r="G81" i="19" s="1"/>
  <c r="I81" i="19" s="1"/>
  <c r="H52" i="19"/>
  <c r="I52" i="19" s="1"/>
  <c r="F15" i="28"/>
  <c r="H15" i="28" s="1"/>
  <c r="C23" i="23"/>
  <c r="G16" i="13"/>
  <c r="D16" i="13"/>
  <c r="G47" i="19"/>
  <c r="F47" i="19"/>
  <c r="Q8" i="4"/>
  <c r="O6" i="7"/>
  <c r="K6" i="7"/>
  <c r="H8" i="15"/>
  <c r="I8" i="15" s="1"/>
  <c r="H13" i="15"/>
  <c r="I13" i="15" s="1"/>
  <c r="I33" i="19"/>
  <c r="F38" i="19"/>
  <c r="H15" i="15"/>
  <c r="I15" i="15" s="1"/>
  <c r="G50" i="19"/>
  <c r="F50" i="19"/>
  <c r="H19" i="15"/>
  <c r="I19" i="15" s="1"/>
  <c r="G83" i="19"/>
  <c r="F49" i="19"/>
  <c r="I9" i="15"/>
  <c r="F20" i="15"/>
  <c r="G18" i="19" s="1"/>
  <c r="P12" i="1"/>
  <c r="K10" i="4"/>
  <c r="T10" i="4" s="1"/>
  <c r="F13" i="2" s="1"/>
  <c r="H12" i="7" s="1"/>
  <c r="T9" i="4" l="1"/>
  <c r="F12" i="2" s="1"/>
  <c r="H27" i="7" s="1"/>
  <c r="K11" i="5"/>
  <c r="F16" i="2" s="1"/>
  <c r="H30" i="7" s="1"/>
  <c r="F13" i="18"/>
  <c r="H13" i="18" s="1"/>
  <c r="I13" i="18" s="1"/>
  <c r="F15" i="18"/>
  <c r="F14" i="18"/>
  <c r="H14" i="18" s="1"/>
  <c r="Q23" i="7"/>
  <c r="F25" i="11"/>
  <c r="H25" i="11" s="1"/>
  <c r="F40" i="23"/>
  <c r="H40" i="23" s="1"/>
  <c r="F7" i="23"/>
  <c r="H7" i="23" s="1"/>
  <c r="Q7" i="7"/>
  <c r="F7" i="11"/>
  <c r="H7" i="11" s="1"/>
  <c r="X7" i="1"/>
  <c r="X10" i="1" s="1"/>
  <c r="E5" i="26"/>
  <c r="I6" i="20"/>
  <c r="W7" i="1"/>
  <c r="W10" i="1" s="1"/>
  <c r="V7" i="1"/>
  <c r="V10" i="1" s="1"/>
  <c r="U7" i="1"/>
  <c r="U10" i="1" s="1"/>
  <c r="E6" i="12"/>
  <c r="E6" i="6"/>
  <c r="O12" i="7"/>
  <c r="K12" i="7"/>
  <c r="I20" i="15"/>
  <c r="C13" i="29"/>
  <c r="C16" i="29" s="1"/>
  <c r="E16" i="29"/>
  <c r="I14" i="18"/>
  <c r="H42" i="23"/>
  <c r="H39" i="23" s="1"/>
  <c r="H20" i="15"/>
  <c r="H18" i="19" s="1"/>
  <c r="H16" i="19" s="1"/>
  <c r="H74" i="19"/>
  <c r="F8" i="11"/>
  <c r="H8" i="11" s="1"/>
  <c r="F8" i="23"/>
  <c r="H8" i="23" s="1"/>
  <c r="Q6" i="7"/>
  <c r="T8" i="4"/>
  <c r="F11" i="2" s="1"/>
  <c r="H11" i="7" s="1"/>
  <c r="H15" i="6"/>
  <c r="E15" i="7" s="1"/>
  <c r="O10" i="6"/>
  <c r="O4" i="6" s="1"/>
  <c r="P8" i="7" s="1"/>
  <c r="M10" i="6"/>
  <c r="M4" i="6" s="1"/>
  <c r="G8" i="7" s="1"/>
  <c r="H13" i="6"/>
  <c r="E12" i="7" s="1"/>
  <c r="H9" i="6"/>
  <c r="E6" i="7" s="1"/>
  <c r="N16" i="6"/>
  <c r="N4" i="6" s="1"/>
  <c r="G16" i="7" s="1"/>
  <c r="H12" i="6"/>
  <c r="E11" i="7" s="1"/>
  <c r="H8" i="6"/>
  <c r="E7" i="7" s="1"/>
  <c r="P16" i="6"/>
  <c r="P4" i="6" s="1"/>
  <c r="P16" i="7" s="1"/>
  <c r="R16" i="7" s="1"/>
  <c r="H50" i="19"/>
  <c r="I50" i="19" s="1"/>
  <c r="G16" i="19"/>
  <c r="I18" i="19"/>
  <c r="G86" i="19"/>
  <c r="I86" i="19" s="1"/>
  <c r="H63" i="19"/>
  <c r="I63" i="19" s="1"/>
  <c r="O31" i="7"/>
  <c r="K31" i="7"/>
  <c r="H83" i="19"/>
  <c r="I83" i="19" s="1"/>
  <c r="F9" i="11"/>
  <c r="H9" i="11" s="1"/>
  <c r="H10" i="11" s="1"/>
  <c r="H6" i="11" s="1"/>
  <c r="F6" i="12" s="1"/>
  <c r="I6" i="12" s="1"/>
  <c r="H47" i="19"/>
  <c r="I47" i="19" s="1"/>
  <c r="H27" i="11"/>
  <c r="H24" i="11" s="1"/>
  <c r="F13" i="12" s="1"/>
  <c r="E12" i="26"/>
  <c r="E13" i="12"/>
  <c r="U12" i="1"/>
  <c r="U15" i="1" s="1"/>
  <c r="E22" i="6"/>
  <c r="I16" i="20"/>
  <c r="X12" i="1"/>
  <c r="X15" i="1" s="1"/>
  <c r="W12" i="1"/>
  <c r="W15" i="1" s="1"/>
  <c r="V12" i="1"/>
  <c r="V15" i="1" s="1"/>
  <c r="H42" i="19"/>
  <c r="I42" i="19" s="1"/>
  <c r="G45" i="19"/>
  <c r="O15" i="7"/>
  <c r="K15" i="7"/>
  <c r="K27" i="7" l="1"/>
  <c r="O27" i="7"/>
  <c r="O30" i="7"/>
  <c r="K30" i="7"/>
  <c r="I7" i="12"/>
  <c r="H7" i="13" s="1"/>
  <c r="H6" i="13" s="1"/>
  <c r="Q31" i="7"/>
  <c r="F47" i="23"/>
  <c r="H47" i="23" s="1"/>
  <c r="F32" i="11"/>
  <c r="H32" i="11" s="1"/>
  <c r="I13" i="12"/>
  <c r="F16" i="11"/>
  <c r="H16" i="11" s="1"/>
  <c r="F16" i="23"/>
  <c r="H16" i="23" s="1"/>
  <c r="Q15" i="7"/>
  <c r="F12" i="26"/>
  <c r="G11" i="7"/>
  <c r="I11" i="7"/>
  <c r="E17" i="29"/>
  <c r="G62" i="19"/>
  <c r="G58" i="19"/>
  <c r="G60" i="19"/>
  <c r="G59" i="19"/>
  <c r="G61" i="19"/>
  <c r="G57" i="19"/>
  <c r="G56" i="19"/>
  <c r="G55" i="19"/>
  <c r="P6" i="7"/>
  <c r="I6" i="7"/>
  <c r="L6" i="7"/>
  <c r="G6" i="7"/>
  <c r="N6" i="7"/>
  <c r="D13" i="29"/>
  <c r="D16" i="29" s="1"/>
  <c r="L12" i="7"/>
  <c r="G12" i="7"/>
  <c r="P12" i="7"/>
  <c r="R12" i="7" s="1"/>
  <c r="I12" i="7"/>
  <c r="F9" i="23"/>
  <c r="H9" i="23" s="1"/>
  <c r="H10" i="23" s="1"/>
  <c r="H6" i="23" s="1"/>
  <c r="O11" i="7"/>
  <c r="K11" i="7"/>
  <c r="L11" i="7" s="1"/>
  <c r="L13" i="7" s="1"/>
  <c r="H45" i="19"/>
  <c r="I45" i="19" s="1"/>
  <c r="R8" i="7"/>
  <c r="I74" i="19"/>
  <c r="G15" i="7"/>
  <c r="G17" i="7" s="1"/>
  <c r="P15" i="7"/>
  <c r="N15" i="7"/>
  <c r="N17" i="7" s="1"/>
  <c r="L15" i="7"/>
  <c r="L17" i="7" s="1"/>
  <c r="I15" i="7"/>
  <c r="I17" i="7" s="1"/>
  <c r="I7" i="7"/>
  <c r="L7" i="7"/>
  <c r="G7" i="7"/>
  <c r="P7" i="7"/>
  <c r="R7" i="7" s="1"/>
  <c r="N7" i="7"/>
  <c r="N31" i="6"/>
  <c r="N20" i="6" s="1"/>
  <c r="G32" i="7" s="1"/>
  <c r="H30" i="6"/>
  <c r="E31" i="7" s="1"/>
  <c r="H25" i="6"/>
  <c r="E24" i="7" s="1"/>
  <c r="H29" i="6"/>
  <c r="E30" i="7" s="1"/>
  <c r="H24" i="6"/>
  <c r="E23" i="7" s="1"/>
  <c r="P31" i="6"/>
  <c r="P20" i="6" s="1"/>
  <c r="P32" i="7" s="1"/>
  <c r="H27" i="6"/>
  <c r="E27" i="7" s="1"/>
  <c r="N16" i="19"/>
  <c r="L16" i="19"/>
  <c r="I16" i="19"/>
  <c r="G64" i="19"/>
  <c r="M16" i="19"/>
  <c r="G67" i="19"/>
  <c r="G23" i="19"/>
  <c r="G49" i="19"/>
  <c r="G22" i="19"/>
  <c r="F13" i="23"/>
  <c r="H13" i="23" s="1"/>
  <c r="Q12" i="7"/>
  <c r="F13" i="11"/>
  <c r="H13" i="11" s="1"/>
  <c r="F44" i="23" l="1"/>
  <c r="H44" i="23" s="1"/>
  <c r="H43" i="23" s="1"/>
  <c r="F29" i="11"/>
  <c r="H29" i="11" s="1"/>
  <c r="H28" i="11" s="1"/>
  <c r="G13" i="12" s="1"/>
  <c r="J13" i="12" s="1"/>
  <c r="Q27" i="7"/>
  <c r="F31" i="11"/>
  <c r="H31" i="11" s="1"/>
  <c r="F33" i="11" s="1"/>
  <c r="H33" i="11" s="1"/>
  <c r="H34" i="11" s="1"/>
  <c r="H30" i="11" s="1"/>
  <c r="H13" i="12" s="1"/>
  <c r="K13" i="12" s="1"/>
  <c r="K14" i="12" s="1"/>
  <c r="H39" i="13" s="1"/>
  <c r="H38" i="13" s="1"/>
  <c r="F46" i="23"/>
  <c r="H46" i="23" s="1"/>
  <c r="Q30" i="7"/>
  <c r="G13" i="7"/>
  <c r="I13" i="7"/>
  <c r="G9" i="7"/>
  <c r="R32" i="7"/>
  <c r="I9" i="7"/>
  <c r="F5" i="26"/>
  <c r="L27" i="7"/>
  <c r="L28" i="7" s="1"/>
  <c r="I27" i="7"/>
  <c r="I28" i="7" s="1"/>
  <c r="P27" i="7"/>
  <c r="G27" i="7"/>
  <c r="G28" i="7" s="1"/>
  <c r="F12" i="11"/>
  <c r="H12" i="11" s="1"/>
  <c r="H14" i="11" s="1"/>
  <c r="H11" i="11" s="1"/>
  <c r="G6" i="12" s="1"/>
  <c r="J6" i="12" s="1"/>
  <c r="Q11" i="7"/>
  <c r="F12" i="23"/>
  <c r="H12" i="23" s="1"/>
  <c r="H14" i="23" s="1"/>
  <c r="H11" i="23" s="1"/>
  <c r="P11" i="7"/>
  <c r="H55" i="19"/>
  <c r="I55" i="19" s="1"/>
  <c r="H56" i="19"/>
  <c r="I56" i="19" s="1"/>
  <c r="P9" i="7"/>
  <c r="R6" i="7"/>
  <c r="R9" i="7" s="1"/>
  <c r="H57" i="19"/>
  <c r="I57" i="19" s="1"/>
  <c r="I14" i="12"/>
  <c r="H35" i="13" s="1"/>
  <c r="H34" i="13" s="1"/>
  <c r="P24" i="7"/>
  <c r="N24" i="7"/>
  <c r="L24" i="7"/>
  <c r="I24" i="7"/>
  <c r="G24" i="7"/>
  <c r="R15" i="7"/>
  <c r="R17" i="7" s="1"/>
  <c r="P17" i="7"/>
  <c r="H61" i="19"/>
  <c r="I61" i="19" s="1"/>
  <c r="L31" i="7"/>
  <c r="P31" i="7"/>
  <c r="N31" i="7"/>
  <c r="I31" i="7"/>
  <c r="G31" i="7"/>
  <c r="H59" i="19"/>
  <c r="I59" i="19" s="1"/>
  <c r="F17" i="23"/>
  <c r="H17" i="23" s="1"/>
  <c r="H18" i="23"/>
  <c r="H15" i="23" s="1"/>
  <c r="H5" i="26" s="1"/>
  <c r="G39" i="19"/>
  <c r="G35" i="19"/>
  <c r="G37" i="19"/>
  <c r="G38" i="19"/>
  <c r="G34" i="19"/>
  <c r="H22" i="19"/>
  <c r="I22" i="19"/>
  <c r="H60" i="19"/>
  <c r="I60" i="19" s="1"/>
  <c r="F17" i="11"/>
  <c r="H17" i="11" s="1"/>
  <c r="H18" i="11" s="1"/>
  <c r="H15" i="11" s="1"/>
  <c r="H6" i="12" s="1"/>
  <c r="K6" i="12" s="1"/>
  <c r="K7" i="12" s="1"/>
  <c r="H11" i="13" s="1"/>
  <c r="H10" i="13" s="1"/>
  <c r="I23" i="7"/>
  <c r="P23" i="7"/>
  <c r="L23" i="7"/>
  <c r="G23" i="7"/>
  <c r="N23" i="7"/>
  <c r="H23" i="19"/>
  <c r="I23" i="19" s="1"/>
  <c r="H67" i="19"/>
  <c r="I67" i="19" s="1"/>
  <c r="N9" i="7"/>
  <c r="H58" i="19"/>
  <c r="I58" i="19" s="1"/>
  <c r="H49" i="19"/>
  <c r="I49" i="19" s="1"/>
  <c r="H62" i="19"/>
  <c r="I62" i="19" s="1"/>
  <c r="G30" i="7"/>
  <c r="P30" i="7"/>
  <c r="N30" i="7"/>
  <c r="N33" i="7" s="1"/>
  <c r="L30" i="7"/>
  <c r="I30" i="7"/>
  <c r="G40" i="19"/>
  <c r="G36" i="19"/>
  <c r="H64" i="19"/>
  <c r="I64" i="19" s="1"/>
  <c r="G66" i="19"/>
  <c r="G65" i="19"/>
  <c r="G84" i="19"/>
  <c r="L9" i="7"/>
  <c r="H52" i="23" l="1"/>
  <c r="G12" i="26"/>
  <c r="R24" i="7"/>
  <c r="I25" i="7"/>
  <c r="L25" i="7"/>
  <c r="G25" i="7"/>
  <c r="J14" i="12"/>
  <c r="H37" i="13" s="1"/>
  <c r="H36" i="13" s="1"/>
  <c r="L13" i="12"/>
  <c r="L14" i="12" s="1"/>
  <c r="F48" i="23"/>
  <c r="H48" i="23" s="1"/>
  <c r="H49" i="23"/>
  <c r="H45" i="23" s="1"/>
  <c r="P33" i="7"/>
  <c r="R30" i="7"/>
  <c r="G33" i="7"/>
  <c r="G5" i="26"/>
  <c r="H21" i="23"/>
  <c r="R31" i="7"/>
  <c r="N25" i="7"/>
  <c r="J7" i="12"/>
  <c r="H9" i="13" s="1"/>
  <c r="H8" i="13" s="1"/>
  <c r="L6" i="12"/>
  <c r="L7" i="12" s="1"/>
  <c r="H84" i="19"/>
  <c r="H38" i="19"/>
  <c r="I38" i="19" s="1"/>
  <c r="H35" i="19"/>
  <c r="I35" i="19"/>
  <c r="P28" i="7"/>
  <c r="R27" i="7"/>
  <c r="R28" i="7" s="1"/>
  <c r="H36" i="19"/>
  <c r="I36" i="19" s="1"/>
  <c r="G54" i="19"/>
  <c r="P25" i="7"/>
  <c r="R23" i="7"/>
  <c r="H39" i="19"/>
  <c r="I39" i="19" s="1"/>
  <c r="H34" i="19"/>
  <c r="I34" i="19" s="1"/>
  <c r="G44" i="19"/>
  <c r="G41" i="19"/>
  <c r="H40" i="19"/>
  <c r="I40" i="19" s="1"/>
  <c r="R11" i="7"/>
  <c r="R13" i="7" s="1"/>
  <c r="P13" i="7"/>
  <c r="H66" i="19"/>
  <c r="I66" i="19" s="1"/>
  <c r="I33" i="7"/>
  <c r="H19" i="23"/>
  <c r="H65" i="19"/>
  <c r="I65" i="19" s="1"/>
  <c r="H37" i="19"/>
  <c r="I37" i="19" s="1"/>
  <c r="L33" i="7"/>
  <c r="H33" i="13" l="1"/>
  <c r="H42" i="13"/>
  <c r="R25" i="7"/>
  <c r="H12" i="26"/>
  <c r="H50" i="23"/>
  <c r="H53" i="23" s="1"/>
  <c r="H51" i="23" s="1"/>
  <c r="H41" i="19"/>
  <c r="I41" i="19" s="1"/>
  <c r="H22" i="23"/>
  <c r="H20" i="23" s="1"/>
  <c r="I44" i="19"/>
  <c r="H44" i="19"/>
  <c r="H54" i="19"/>
  <c r="I54" i="19" s="1"/>
  <c r="H14" i="13"/>
  <c r="H5" i="13"/>
  <c r="R33" i="7"/>
  <c r="I84" i="19"/>
  <c r="H43" i="13" l="1"/>
  <c r="H41" i="13" s="1"/>
  <c r="H44" i="13"/>
  <c r="H47" i="13" s="1"/>
  <c r="H15" i="13"/>
  <c r="H13" i="13" s="1"/>
  <c r="H23" i="23"/>
  <c r="H25" i="23" s="1"/>
  <c r="H46" i="13"/>
  <c r="H48" i="13" s="1"/>
  <c r="H54" i="23"/>
  <c r="H56" i="23" s="1"/>
  <c r="H45" i="13" l="1"/>
  <c r="H49" i="13"/>
  <c r="H50" i="13" s="1"/>
  <c r="H51" i="13" s="1"/>
  <c r="H16" i="13"/>
  <c r="H57" i="23"/>
  <c r="H26" i="23"/>
  <c r="H27" i="23" s="1"/>
  <c r="H58" i="23"/>
  <c r="H55" i="23" s="1"/>
  <c r="H24" i="23" l="1"/>
  <c r="H28" i="23"/>
  <c r="H52" i="13"/>
  <c r="H53" i="13"/>
  <c r="H54" i="13" s="1"/>
  <c r="H59" i="23"/>
  <c r="H19" i="13"/>
  <c r="H18" i="13"/>
  <c r="H20" i="13" s="1"/>
  <c r="H17" i="13" s="1"/>
  <c r="H55" i="13" l="1"/>
  <c r="I27" i="19"/>
  <c r="H21" i="13"/>
  <c r="H60" i="23"/>
  <c r="H61" i="23"/>
  <c r="H29" i="23"/>
  <c r="H30" i="23" s="1"/>
  <c r="H31" i="23" l="1"/>
  <c r="H32" i="23"/>
  <c r="H33" i="23" s="1"/>
  <c r="I5" i="26" s="1"/>
  <c r="J5" i="26" s="1"/>
  <c r="J6" i="26" s="1"/>
  <c r="H22" i="13"/>
  <c r="H23" i="13" s="1"/>
  <c r="H63" i="23"/>
  <c r="H62" i="23"/>
  <c r="H64" i="23" s="1"/>
  <c r="I12" i="26" s="1"/>
  <c r="J12" i="26" s="1"/>
  <c r="J13" i="26" s="1"/>
  <c r="G27" i="19"/>
  <c r="H27" i="19" s="1"/>
  <c r="H25" i="13" l="1"/>
  <c r="H24" i="13"/>
  <c r="H26" i="13" s="1"/>
  <c r="I26" i="19" l="1"/>
  <c r="H27" i="13"/>
  <c r="G26" i="19" l="1"/>
  <c r="G25" i="19" s="1"/>
  <c r="I25" i="19"/>
  <c r="G28" i="19" l="1"/>
  <c r="F27" i="37"/>
  <c r="D29" i="19" s="1"/>
  <c r="H26" i="19"/>
  <c r="H25" i="19" s="1"/>
  <c r="F29" i="19" l="1"/>
  <c r="G29" i="19"/>
  <c r="H28" i="19"/>
  <c r="I28" i="19" l="1"/>
  <c r="H29" i="19"/>
  <c r="L68" i="19"/>
  <c r="F29" i="37" s="1"/>
  <c r="D68" i="19" s="1"/>
  <c r="G68" i="19" s="1"/>
  <c r="H24" i="19" l="1"/>
  <c r="H68" i="19"/>
  <c r="I68" i="19" s="1"/>
  <c r="I24" i="19" s="1"/>
  <c r="I29" i="19"/>
  <c r="G24" i="19"/>
  <c r="G85" i="19" l="1"/>
  <c r="H85" i="19" l="1"/>
  <c r="H71" i="19" s="1"/>
  <c r="G71" i="19"/>
  <c r="I85" i="19" l="1"/>
  <c r="I71" i="19" s="1"/>
  <c r="I88" i="19" l="1"/>
  <c r="K89" i="19"/>
  <c r="C15" i="18" s="1"/>
  <c r="C16" i="18" l="1"/>
  <c r="H15" i="18"/>
  <c r="I15" i="18" s="1"/>
  <c r="H16" i="18" s="1"/>
  <c r="I89" i="19" s="1"/>
  <c r="E15" i="18"/>
  <c r="E16" i="18" s="1"/>
  <c r="G88" i="19"/>
  <c r="I87" i="19"/>
  <c r="I90" i="19" s="1"/>
  <c r="H88" i="19" l="1"/>
  <c r="L90" i="19"/>
  <c r="M90" i="19" s="1"/>
  <c r="I96" i="19"/>
  <c r="I97" i="19" s="1"/>
  <c r="F56" i="31" s="1"/>
  <c r="G89" i="19"/>
  <c r="G87" i="19" s="1"/>
  <c r="G90" i="19" s="1"/>
  <c r="L97" i="19" s="1"/>
  <c r="D89" i="19"/>
  <c r="H89" i="19" l="1"/>
  <c r="H87" i="19"/>
  <c r="H90" i="19" s="1"/>
  <c r="H96" i="19" s="1"/>
</calcChain>
</file>

<file path=xl/sharedStrings.xml><?xml version="1.0" encoding="utf-8"?>
<sst xmlns="http://schemas.openxmlformats.org/spreadsheetml/2006/main" count="1781" uniqueCount="949">
  <si>
    <t>BẢNG DỰ TOÁN HẠNG MỤC CÔNG TRÌNH</t>
  </si>
  <si>
    <t>(đ)</t>
  </si>
  <si>
    <t>CÔNG TRÌNH : XÂY DỰNG NHÀ Ở CHO LỰC LƯỢNG VŨ TRANG CÔNG AN NHÂN DÂN (NHÀ Ở XÃ HỘI CHO CÁN BỘ, CHIẾN SỸ CÔNG AN) TẠI CÁC Ô ĐẤT CE-ODK3 VÀ C3-ODK4 THUỘC QUY HOẠCH PHÂN KHU ĐÔ THỊ H2-4, PHƯỜNG YÊN SỞ, THÀNH PHỐ HÀ NỘI</t>
  </si>
  <si>
    <t>THÍ NGHIỆM SIÊU ÂM KIỂM TRA CHẤT LƯỢNG CỌC KHOAN ĐẠI TRÀ</t>
  </si>
  <si>
    <t>STT</t>
  </si>
  <si>
    <t>Ký hiệu
bản vẽ</t>
  </si>
  <si>
    <t>Mã hiệu
định mức</t>
  </si>
  <si>
    <t>Mã hiệu
vữa</t>
  </si>
  <si>
    <t>Mã hiệu
công tác</t>
  </si>
  <si>
    <t>Danh mục công tác/ Diễn giải KL</t>
  </si>
  <si>
    <t>Đơn vị
tính</t>
  </si>
  <si>
    <t>Số
C.K</t>
  </si>
  <si>
    <t>Kích thước</t>
  </si>
  <si>
    <t>Hệ số
phụ</t>
  </si>
  <si>
    <t>Tổng
dài</t>
  </si>
  <si>
    <t>D.tích
(M2)</t>
  </si>
  <si>
    <t>K.L
C.Kiện</t>
  </si>
  <si>
    <t>Khối lượng</t>
  </si>
  <si>
    <t>Hệ số điều chỉnh</t>
  </si>
  <si>
    <t>Ghi chú, Nguồn gốc xuất xứ</t>
  </si>
  <si>
    <t>Dữ liệu đã dùng</t>
  </si>
  <si>
    <t>Hao phí định mức</t>
  </si>
  <si>
    <t>Hệ số định mức</t>
  </si>
  <si>
    <t>Thời điểm thi công</t>
  </si>
  <si>
    <t>Tỉnh TP / Chuyên ngành</t>
  </si>
  <si>
    <t>Dài</t>
  </si>
  <si>
    <t>Rộng</t>
  </si>
  <si>
    <t>Cao</t>
  </si>
  <si>
    <t>Vật liệu</t>
  </si>
  <si>
    <t>V.L phụ</t>
  </si>
  <si>
    <t>Nhân công</t>
  </si>
  <si>
    <t>Máy T.C</t>
  </si>
  <si>
    <t>Máy thi công</t>
  </si>
  <si>
    <t>V.L</t>
  </si>
  <si>
    <t>N.C</t>
  </si>
  <si>
    <t>Máy</t>
  </si>
  <si>
    <t>Đơn giá</t>
  </si>
  <si>
    <t>Giá máy</t>
  </si>
  <si>
    <t>Bắt đầu</t>
  </si>
  <si>
    <t>Kết thúc</t>
  </si>
  <si>
    <t>HM</t>
  </si>
  <si>
    <t>CE.12910</t>
  </si>
  <si>
    <t>Thí nghiệm kiểm tra chất lượng cọc bê tông bằng phương pháp siêu âm</t>
  </si>
  <si>
    <t>mặt cắt/lần TN</t>
  </si>
  <si>
    <t>Định mức 38/2026/TT-BXD - Phần KS</t>
  </si>
  <si>
    <t>GM38_2026</t>
  </si>
  <si>
    <t>A28.0325~Thước thép 5m~cái~0.04~0.04~0~13636~0~1~1~0~14726.9~ThuocThep~Tham khảo bộ đơn giá số 378/2023 Hà Nội~0žA28.0324~Thước thép 42m~cái~0.04~0.04~0~70000~0~1~1~0~75600~ThuocThep~Tham khảo bộ đơn giá số 378/2023 Hà Nội~0žZ999~Vật liệu khác~%~5~5~0~33.4544~0~1~1~0~0~~~0</t>
  </si>
  <si>
    <t>NKS~Kỹ sư~công~0.46~0.46~0~435000~0~1~1~0~0~KS~Được tính toán, rồi Link từ sheet Nhân công sang~0žN3~Nhân công nhóm 3~công~1.12~1.12~0~427000~0~1~1~0~0~N3~Được tính toán, rồi Link từ sheet Nhân công sang~0</t>
  </si>
  <si>
    <t>M202.0008~Bộ thiết bị siêu âm~ca~0.32~0.32~0~478189~0~1~1~0~0~M709~Được tính toán, rồi Link từ sheet Máy sang~0žM999~Máy khác~%~1~1~0~1530.2048~0~1~1~0~0~~~0</t>
  </si>
  <si>
    <t>DinhMucBoXD</t>
  </si>
  <si>
    <t>Cọc D1500</t>
  </si>
  <si>
    <t>Cọc D1000</t>
  </si>
  <si>
    <t>THM</t>
  </si>
  <si>
    <t>Tổng cộng: THÍ NGHIỆM SIÊU ÂM KIỂM TRA CHẤT LƯỢNG CỌC KHOAN ĐẠI TRÀ</t>
  </si>
  <si>
    <t>KHOAN KIỂM TRA XỬ LÝ ĐÁY CỌC KHOAN NHỒI ĐẠI TRÀ</t>
  </si>
  <si>
    <t>AL.55120</t>
  </si>
  <si>
    <t>Khoan kiểm tra, xử lý đáy cọc khoan nhồi, đường kính lỗ khoan &gt; 80mm</t>
  </si>
  <si>
    <t>cọc</t>
  </si>
  <si>
    <t>Định mức 38/2026/TT-BXD - Phần XD</t>
  </si>
  <si>
    <t>A24.0247~Cần khoan L=1,5m~cái~0.026~0.026~0~200000~0~1~1~0~216000~CanKhoan1.5m~Tham khảo bộ đơn giá số 378/2023 Hà Nội~0žA24.0492~Mũi khoan d&gt;80mm~cái~0.065~0.065~0~768630~0~1~1~0~830120.4~MuiKhoan&gt;80~Tham khảo bộ đơn giá số 378/2023 Hà Nội~0</t>
  </si>
  <si>
    <t>N2~Nhân công nhóm 2~công~10.5~10.5~0~413000~0~1~1~0~0~N2~Được tính toán, rồi Link từ sheet Nhân công sang~0</t>
  </si>
  <si>
    <t>M107.0202~Máy khoan xoay đập tự hành F105mm~ca~0.45~0.45~0~2219339~0~1~1~0~0~M466~Được tính toán, rồi Link từ sheet Máy sang~0žM108.0307~Máy nén khí diezel 660 m3/h~ca~0.45~0.45~0~2408258~0~1~1~0~0~M405~Được tính toán, rồi Link từ sheet Máy sang~0žM999~Máy khác~%~5~5~0~20824.1865~0~1~1~0~0~~~0</t>
  </si>
  <si>
    <t>Tổng cộng: KHOAN KIỂM TRA XỬ LÝ ĐÁY CỌC KHOAN NHỒI ĐẠI TRÀ</t>
  </si>
  <si>
    <t>BẢNG GIÁ THÔNG BÁO CÔNG TRÌNH</t>
  </si>
  <si>
    <t>Mã số</t>
  </si>
  <si>
    <t>Tên vật tư</t>
  </si>
  <si>
    <t>Đơn vị</t>
  </si>
  <si>
    <t>Hệ số</t>
  </si>
  <si>
    <t>Chính</t>
  </si>
  <si>
    <t>Mã chuẩn</t>
  </si>
  <si>
    <t>I</t>
  </si>
  <si>
    <t>VẬT LIỆU</t>
  </si>
  <si>
    <t>A24.0247</t>
  </si>
  <si>
    <t>Cần khoan L=1,5m</t>
  </si>
  <si>
    <t>cái</t>
  </si>
  <si>
    <t>CanKhoan1.5m</t>
  </si>
  <si>
    <t>Tham khảo bộ đơn giá số 378/2023 Hà Nội</t>
  </si>
  <si>
    <t>A24.0492</t>
  </si>
  <si>
    <t>Mũi khoan d&gt;80mm</t>
  </si>
  <si>
    <t>MuiKhoan&gt;80</t>
  </si>
  <si>
    <t>A28.0324</t>
  </si>
  <si>
    <t>Thước thép 42m</t>
  </si>
  <si>
    <t>ThuocThep</t>
  </si>
  <si>
    <t>A28.0325</t>
  </si>
  <si>
    <t>Thước thép 5m</t>
  </si>
  <si>
    <t>II</t>
  </si>
  <si>
    <t>NHÂN CÔNG</t>
  </si>
  <si>
    <t>NKS</t>
  </si>
  <si>
    <t>Kỹ sư</t>
  </si>
  <si>
    <t>công</t>
  </si>
  <si>
    <t>KS</t>
  </si>
  <si>
    <t>Được tính toán, rồi Link từ sheet Nhân công sang</t>
  </si>
  <si>
    <t>N2</t>
  </si>
  <si>
    <t>Nhân công nhóm 2</t>
  </si>
  <si>
    <t>N3</t>
  </si>
  <si>
    <t>Nhân công nhóm 3</t>
  </si>
  <si>
    <t>III</t>
  </si>
  <si>
    <t>MÁY THI CÔNG</t>
  </si>
  <si>
    <t>M202.0008</t>
  </si>
  <si>
    <t>Bộ thiết bị siêu âm</t>
  </si>
  <si>
    <t>ca</t>
  </si>
  <si>
    <t>M709</t>
  </si>
  <si>
    <t>Được tính toán, rồi Link từ sheet Máy sang</t>
  </si>
  <si>
    <t>M107.0202</t>
  </si>
  <si>
    <t>Máy khoan xoay đập tự hành F105mm</t>
  </si>
  <si>
    <t>M466</t>
  </si>
  <si>
    <t>M108.0307</t>
  </si>
  <si>
    <t>Máy nén khí diezel 660 m3/h</t>
  </si>
  <si>
    <t>M405</t>
  </si>
  <si>
    <t>DỮ LIỆU ĐẦU VÀO TÍNH NHÂN CÔNG, CA MÁY</t>
  </si>
  <si>
    <t>BẢNG 1.  MỨC LƯƠNG, SỐ NGÀY LÀM VIỆC</t>
  </si>
  <si>
    <t>Tên, loại dữ liệu</t>
  </si>
  <si>
    <t>Giá trị</t>
  </si>
  <si>
    <t>Mức lương tối thiểu chung (đồng/tháng)</t>
  </si>
  <si>
    <t>Mức lương đầu vào LNC (đồng/tháng)</t>
  </si>
  <si>
    <t>Số ngày làm việc (ngày/tháng)</t>
  </si>
  <si>
    <t>Hệ số điều chỉnh nhân công</t>
  </si>
  <si>
    <t>BẢNG 2.  TỶ LỆ CÁC KHOẢN PHỤ CẤP</t>
  </si>
  <si>
    <t>Loại phụ cấp</t>
  </si>
  <si>
    <t>Tỷ lệ</t>
  </si>
  <si>
    <t>Phụ cấp lưu động</t>
  </si>
  <si>
    <t>Không ổn định sản xuất</t>
  </si>
  <si>
    <t>Lương phụ nghỉ lễ, tết hoặc nghỉ phép ...</t>
  </si>
  <si>
    <t>Chi phí có thể khoán trực tiếp cho người lao động</t>
  </si>
  <si>
    <t>Phụ cấp khu vực</t>
  </si>
  <si>
    <t>Phụ cấp độc hại</t>
  </si>
  <si>
    <t>Phụ cấp thu hút</t>
  </si>
  <si>
    <t>Phụ cấp trách nhiệm</t>
  </si>
  <si>
    <t>Phụ cấp bảo hiểm</t>
  </si>
  <si>
    <t>Phụ cấp vùng sâu, vùng xa, khó khăn, đắt đỏ</t>
  </si>
  <si>
    <t>BẢNG 3.  ĐƠN GIÁ NHIÊN LIỆU, ĐIỆN (TRƯỚC THUẾ VAT)</t>
  </si>
  <si>
    <t>Loại nhiên liệu, năng lượng</t>
  </si>
  <si>
    <t>Diezel</t>
  </si>
  <si>
    <t>Lít</t>
  </si>
  <si>
    <t>Mazut</t>
  </si>
  <si>
    <t>Điện</t>
  </si>
  <si>
    <t>kwh</t>
  </si>
  <si>
    <t>Giá điện theo: Quyết định 1279/QĐ-BCT ngày 09/05/2025</t>
  </si>
  <si>
    <t>Xăng</t>
  </si>
  <si>
    <t>Giá nhiên liệu theo: Công bố của Petrolimex ngày 27/08/2026</t>
  </si>
  <si>
    <t>BẢNG 4.  HỆ SỐ NHIÊN LIỆU PHỤ</t>
  </si>
  <si>
    <t>Loại động cơ</t>
  </si>
  <si>
    <t>Động cơ Diezel</t>
  </si>
  <si>
    <t>Động cơ Mazut</t>
  </si>
  <si>
    <t>Động cơ Điện</t>
  </si>
  <si>
    <t>Động cơ Xăng</t>
  </si>
  <si>
    <t>BẢNG 5.  THU HỒI KHI THANH LÝ</t>
  </si>
  <si>
    <t>Thu hồi thanh lý khi nguyên giá từ (triệu đồng)</t>
  </si>
  <si>
    <t>Tỷ lệ thu hồi khi thanh lý</t>
  </si>
  <si>
    <t>BẢNG 6.  LÀM TRÒN SỐ HỌC</t>
  </si>
  <si>
    <t>Đối tượng làm tròn</t>
  </si>
  <si>
    <t>Làm tròn</t>
  </si>
  <si>
    <t>Giá</t>
  </si>
  <si>
    <t>Đơn giá Nhân công, Lương thợ lái máy</t>
  </si>
  <si>
    <t>Tổng đơn giá</t>
  </si>
  <si>
    <t>Hệ số lương</t>
  </si>
  <si>
    <t>BẢNG 7.  CÁC KÝ HIỆU VIẾT TẮT</t>
  </si>
  <si>
    <t>Ý nghĩa ký hiệu viết tắt</t>
  </si>
  <si>
    <t>Ký hiệu</t>
  </si>
  <si>
    <t>Mức lương đầu vào</t>
  </si>
  <si>
    <t>LNC</t>
  </si>
  <si>
    <t>Lương cơ bản (lương cấp bậc)</t>
  </si>
  <si>
    <t>LCB</t>
  </si>
  <si>
    <t>Hệ số lương theo cấp bậc</t>
  </si>
  <si>
    <t>HCB</t>
  </si>
  <si>
    <t>BẢNG TÍNH ĐƠN GIÁ NHÂN CÔNG</t>
  </si>
  <si>
    <t>(Theo HD 14502/SXD-KTXD năm 2026 của TP Hà Nội - Phường Yên Sở.)</t>
  </si>
  <si>
    <t>Tên nhân công</t>
  </si>
  <si>
    <t>Hệ số lương (HCB)</t>
  </si>
  <si>
    <t>Đơn giá NC bình quân
(đ/công)</t>
  </si>
  <si>
    <t>Hệ số lương bình quân</t>
  </si>
  <si>
    <t>Lương CB
(đ/công)</t>
  </si>
  <si>
    <t>Hệ số
điều chỉnh
nhân công</t>
  </si>
  <si>
    <t>Đơn giá
nhân công
(đ/công)</t>
  </si>
  <si>
    <t>Hệ số lương (chưa làm tròn)</t>
  </si>
  <si>
    <t>BẢNG TÍNH ĐƠN GIÁ CA MÁY</t>
  </si>
  <si>
    <t>(Theo Thông tư 37/2026/TT-BXD, HD 14502/SXD-KTXD năm 2026 của TP Hà Nội - Phường Yên Sở.)</t>
  </si>
  <si>
    <t>Tên máy và thiết bị thi công / Diễn giải</t>
  </si>
  <si>
    <t>Số ca / 1 năm</t>
  </si>
  <si>
    <t>Định mức</t>
  </si>
  <si>
    <t>Số ngày / tháng</t>
  </si>
  <si>
    <t>* Khấu hao, Sửa chữa và Chi phí khác:</t>
  </si>
  <si>
    <t xml:space="preserve"> - Khấu hao</t>
  </si>
  <si>
    <t xml:space="preserve"> - Sửa chữa</t>
  </si>
  <si>
    <t xml:space="preserve"> - Chi phí khác</t>
  </si>
  <si>
    <t>* Nhân công vận hành máy:</t>
  </si>
  <si>
    <t xml:space="preserve"> - Nhân công vận hành</t>
  </si>
  <si>
    <t>Lương cơ bản</t>
  </si>
  <si>
    <t>* Nhiên liệu, năng lượng:</t>
  </si>
  <si>
    <t>HAO PHÍ VẬT LIỆU, NHÂN CÔNG, MÁY CHO CÁC CÔNG TÁC</t>
  </si>
  <si>
    <t>VL khác, Máy khác</t>
  </si>
  <si>
    <t>VLK gốc</t>
  </si>
  <si>
    <t>MK gốc</t>
  </si>
  <si>
    <t>VLK HT</t>
  </si>
  <si>
    <t>MK HT</t>
  </si>
  <si>
    <t>Cước VC</t>
  </si>
  <si>
    <t>Cước bộ</t>
  </si>
  <si>
    <t>So sánh</t>
  </si>
  <si>
    <t>Mã hiệu</t>
  </si>
  <si>
    <t>Tên công tác / vật tư</t>
  </si>
  <si>
    <t>Định mức hao phí</t>
  </si>
  <si>
    <t>Khối lượng hao phí</t>
  </si>
  <si>
    <t>a) Vật liệu</t>
  </si>
  <si>
    <t>Z999</t>
  </si>
  <si>
    <t>Vật liệu khác</t>
  </si>
  <si>
    <t>%</t>
  </si>
  <si>
    <t>b) Nhân công</t>
  </si>
  <si>
    <t>c) Máy thi công</t>
  </si>
  <si>
    <t>M999</t>
  </si>
  <si>
    <t>Máy khác</t>
  </si>
  <si>
    <t>BẢNG TỔNG HỢP VẬT TƯ VÀ CHÊNH LỆCH GIÁ</t>
  </si>
  <si>
    <t>Cước ôtô
Cước sông</t>
  </si>
  <si>
    <t>TỔNG VẬT LIỆU</t>
  </si>
  <si>
    <t>TỔNG NHÂN CÔNG</t>
  </si>
  <si>
    <t>TỔNG MÁY THI CÔNG</t>
  </si>
  <si>
    <t>ĐƠN GIÁ XÂY DỰNG CHI TIẾT HẠNG MỤC CÔNG TRÌNH</t>
  </si>
  <si>
    <t>Thành phần hao phí</t>
  </si>
  <si>
    <t>Cộng</t>
  </si>
  <si>
    <t>GIÁ XÂY DỰNG TỔNG HỢP HẠNG MỤC CÔNG TRÌNH</t>
  </si>
  <si>
    <t>Tên công tác</t>
  </si>
  <si>
    <t>TỔNG HẠNG MỤC</t>
  </si>
  <si>
    <t>TỔNG CÔNG TRÌNH</t>
  </si>
  <si>
    <t>LÀM TRÒN</t>
  </si>
  <si>
    <t>BẢNG TỔNG HỢP DỰ TOÁN CHI PHÍ XÂY DỰNG</t>
  </si>
  <si>
    <t>Tên công trình: XÂY DỰNG NHÀ Ở CHO LỰC LƯỢNG VŨ TRANG CÔNG AN NHÂN DÂN (NHÀ Ở XÃ HỘI CHO CÁN BỘ, CHIẾN SỸ CÔNG AN) TẠI CÁC Ô ĐẤT CE-ODK3 VÀ C3-ODK4 THUỘC QUY HOẠCH PHÂN KHU ĐÔ THỊ H2-4, PHƯỜNG YÊN SỞ, THÀNH PHỐ HÀ NỘI</t>
  </si>
  <si>
    <t>Tên hạng mục: THÍ NGHIỆM SIÊU ÂM KIỂM TRA CHẤT LƯỢNG CỌC KHOAN ĐẠI TRÀ</t>
  </si>
  <si>
    <t>NỘI DUNG CHI PHÍ</t>
  </si>
  <si>
    <t>CÁCH TÍNH</t>
  </si>
  <si>
    <t>HỆ SỐ</t>
  </si>
  <si>
    <t>KÝ HIỆU</t>
  </si>
  <si>
    <t>CHI PHÍ TRỰC TIẾP</t>
  </si>
  <si>
    <t>VL + NC + M</t>
  </si>
  <si>
    <t>T</t>
  </si>
  <si>
    <t>1</t>
  </si>
  <si>
    <t>Chi phí Vật liệu</t>
  </si>
  <si>
    <t>A1</t>
  </si>
  <si>
    <t>VL</t>
  </si>
  <si>
    <t xml:space="preserve"> + Theo giá xây dựng tổng hợp</t>
  </si>
  <si>
    <t>Bảng giá tổng hợp</t>
  </si>
  <si>
    <t>2</t>
  </si>
  <si>
    <t>Chi phí Nhân công</t>
  </si>
  <si>
    <t>B1</t>
  </si>
  <si>
    <t>NC</t>
  </si>
  <si>
    <t>3</t>
  </si>
  <si>
    <t>Chi phí Máy thi công</t>
  </si>
  <si>
    <t>C1</t>
  </si>
  <si>
    <t>M</t>
  </si>
  <si>
    <t/>
  </si>
  <si>
    <t>Cộng chi phí trực tiếp</t>
  </si>
  <si>
    <t>CHI PHÍ GIÁN TIẾP</t>
  </si>
  <si>
    <t>(C + TT)</t>
  </si>
  <si>
    <t>GT</t>
  </si>
  <si>
    <t>Chi phí chung</t>
  </si>
  <si>
    <t>C</t>
  </si>
  <si>
    <t>Chi phí một số công việc không xác định được khối lượng từ thiết kế</t>
  </si>
  <si>
    <t>TT</t>
  </si>
  <si>
    <t>THU NHẬP CHỊU THUẾ TÍNH TRƯỚC</t>
  </si>
  <si>
    <t>TL</t>
  </si>
  <si>
    <t>IV</t>
  </si>
  <si>
    <t>CHI PHÍ PHỤC VỤ CÔNG TÁC KHẢO SÁT XD</t>
  </si>
  <si>
    <t>Cpvks</t>
  </si>
  <si>
    <t>Chi phí lập phương án kỹ thuật khảo sát</t>
  </si>
  <si>
    <t>(T + GT + TL) x 2%</t>
  </si>
  <si>
    <t>Cpa</t>
  </si>
  <si>
    <t>Chi phí lập báo cáo kết quả khảo sát</t>
  </si>
  <si>
    <t>(T + GT + TL) x 3%</t>
  </si>
  <si>
    <t>Cbc</t>
  </si>
  <si>
    <t>Cộng chi phí phục vụ công tác khảo sát</t>
  </si>
  <si>
    <t>(Cpa + Cbc)</t>
  </si>
  <si>
    <t>Chi phí khảo sát xây dựng trước thuế</t>
  </si>
  <si>
    <t>(T+GT+TL + Cpvks)</t>
  </si>
  <si>
    <t>G</t>
  </si>
  <si>
    <t>V</t>
  </si>
  <si>
    <t>THUẾ GIÁ TRỊ GIA TĂNG</t>
  </si>
  <si>
    <t>GTGT</t>
  </si>
  <si>
    <t>Chi phí khảo sát sau thuế</t>
  </si>
  <si>
    <t>G + GTGT</t>
  </si>
  <si>
    <t>Gks</t>
  </si>
  <si>
    <t>VI</t>
  </si>
  <si>
    <t>Chi phí nhà tạm để ở và điều hành thi công</t>
  </si>
  <si>
    <t>LT</t>
  </si>
  <si>
    <t>VII</t>
  </si>
  <si>
    <t>Chi phí Dự phòng</t>
  </si>
  <si>
    <t>Gks x 0%</t>
  </si>
  <si>
    <t>Gdp</t>
  </si>
  <si>
    <t>Chi phí khảo sát xây dựng</t>
  </si>
  <si>
    <t>Bằng chữ: Một tỷ bảy trăm mười ba triệu bảy trăm ba mươi nghìn đồng chẵn./.</t>
  </si>
  <si>
    <t>Tên hạng mục: KHOAN KIỂM TRA XỬ LÝ ĐÁY CỌC KHOAN NHỒI ĐẠI TRÀ</t>
  </si>
  <si>
    <t>Bằng chữ: Hai trăm bảy mươi tư triệu chín trăm sáu mươi lăm nghìn đồng chẵn./.</t>
  </si>
  <si>
    <t>BẢNG TỔNG HỢP CHI PHÍ XÂY DỰNG CÔNG TRÌNH</t>
  </si>
  <si>
    <t>GIÁ TRỊ
TRƯỚC THUẾ</t>
  </si>
  <si>
    <t>THUẾ
GTGT</t>
  </si>
  <si>
    <t>GIÁ TRỊ
SAU THUẾ</t>
  </si>
  <si>
    <t>Chi phí xây dựng của công trình chính, phụ trợ</t>
  </si>
  <si>
    <t>Gxd</t>
  </si>
  <si>
    <t>Glt</t>
  </si>
  <si>
    <t>TỔNG CỘNG</t>
  </si>
  <si>
    <t>Bằng chữ: Không đồng chẵn./.</t>
  </si>
  <si>
    <t>BẢNG TỔNG HỢP CHI PHÍ THIẾT BỊ CÔNG TRÌNH</t>
  </si>
  <si>
    <t>Tên thiết bị</t>
  </si>
  <si>
    <t>Số lượng</t>
  </si>
  <si>
    <t>Thuế VAT</t>
  </si>
  <si>
    <t>Chi phí mua sắm thiết bị</t>
  </si>
  <si>
    <t>BẢNG TỔNG HỢP CHI PHÍ BỒI THƯỜNG, HỖ TRỢ VÀ TÁI ĐỊNH CƯ</t>
  </si>
  <si>
    <t>Nội dung công việc</t>
  </si>
  <si>
    <t>Chi phí bồi thường, hỗ trợ và tái định cư</t>
  </si>
  <si>
    <t>CHỈ SỐ GIÁ BÌNH QUÂN</t>
  </si>
  <si>
    <t>Thời điểm</t>
  </si>
  <si>
    <t>Chỉ số giá XD</t>
  </si>
  <si>
    <t>Tỷ lệ ( Isau / Itrước )</t>
  </si>
  <si>
    <t>Chỉ số giá XD bình quân</t>
  </si>
  <si>
    <t>2021</t>
  </si>
  <si>
    <t>2022</t>
  </si>
  <si>
    <t>2023</t>
  </si>
  <si>
    <t>2024</t>
  </si>
  <si>
    <t>2025</t>
  </si>
  <si>
    <t>CHI PHÍ DỰ PHÒNG DO YẾU TỐ TRƯỢT GIÁ</t>
  </si>
  <si>
    <t>Năm</t>
  </si>
  <si>
    <t>Vốn phân bổ từng năm</t>
  </si>
  <si>
    <t>Lãi vay</t>
  </si>
  <si>
    <t>Chi phí tính dự phòng</t>
  </si>
  <si>
    <t>Mức biến động chỉ số giá XD</t>
  </si>
  <si>
    <t>Dự phòng từng năm</t>
  </si>
  <si>
    <t>Dự phòng lũy kế</t>
  </si>
  <si>
    <t>2026</t>
  </si>
  <si>
    <t>2027</t>
  </si>
  <si>
    <t>2028</t>
  </si>
  <si>
    <t>BẢNG TỔNG HỢP DỰ TOÁN CÔNG TRÌNH</t>
  </si>
  <si>
    <t xml:space="preserve">Dự án: </t>
  </si>
  <si>
    <t xml:space="preserve">Chủ đầu tư/ Cơ quan chuẩn bị dự án: </t>
  </si>
  <si>
    <t xml:space="preserve">Tư vấn lập dự án: </t>
  </si>
  <si>
    <t xml:space="preserve">Địa điểm XD: </t>
  </si>
  <si>
    <t xml:space="preserve">Thời điểm lập dự án: </t>
  </si>
  <si>
    <t xml:space="preserve">Thời gian thực hiện dự án: </t>
  </si>
  <si>
    <t>Nguồn vốn đầu tư: NHÀ NƯỚC</t>
  </si>
  <si>
    <t>Loại, cấp công trình có cấp cao nhất: 2</t>
  </si>
  <si>
    <t>Tổng mức đầu tư</t>
  </si>
  <si>
    <t>ĐỊNH MỨC</t>
  </si>
  <si>
    <t>Dự kiến</t>
  </si>
  <si>
    <t>Tiền khả thi</t>
  </si>
  <si>
    <t>Được duyệt</t>
  </si>
  <si>
    <t>Ghi chú/ Hướng dẫn</t>
  </si>
  <si>
    <t>Gbttdc</t>
  </si>
  <si>
    <t>Gbt,tđc</t>
  </si>
  <si>
    <t>Người dùng nhập ở cột Chi phí trước thuế hoặc Tạo và khai báo loại hạng mục "11. Bồi thường, hỗ trợ và tái định cư" bên sheet Công trình</t>
  </si>
  <si>
    <t>Chi phí xây dựng</t>
  </si>
  <si>
    <t>Gcpxd</t>
  </si>
  <si>
    <t>2.1</t>
  </si>
  <si>
    <t>Chi phí xây dựng công trình chính, phụ trợ tạm phục vụ thi công</t>
  </si>
  <si>
    <t>Gxdcpt</t>
  </si>
  <si>
    <t>Văn bản số 12637/BXD-KTQLXD ngày 11/08/2026 Bộ XD hướng dẫn: Chi phí xây dựng để tính chi phí QLDA và tư vấn XD là tổng của 3 khoản mục: chi phí trực tiếp (T), chi phí gián tiếp (GT), thu nhập chịu thuế tính trước (TL) và không bao gồm chi phí nhà tạm để ở và điều hành thi công</t>
  </si>
  <si>
    <t>Chi phí xây dựng nhà tạm tại hiện trường để ở và điều hành thi công</t>
  </si>
  <si>
    <t>Gxdnt</t>
  </si>
  <si>
    <t>Gnt</t>
  </si>
  <si>
    <t>Chi phí thiết bị</t>
  </si>
  <si>
    <t>Gtb</t>
  </si>
  <si>
    <t>Người dùng nhập dữ liệu mua sắm, lắp đặt, hiệu chỉnh,... thiết bị ở sheet "TH chi phí TB" hoặc Tạo và khai báo loại hạng mục "7. Lắp đặt, thí nghiệm, hiệu chỉnh, chạy thử thiết bị " bên sheet Công trình</t>
  </si>
  <si>
    <t>Trong đó :</t>
  </si>
  <si>
    <t>Gtb_CT</t>
  </si>
  <si>
    <t>+ Chi phí Mua sắm thiết bị</t>
  </si>
  <si>
    <t>Gtb_MS</t>
  </si>
  <si>
    <t>+ Chi phí lắp đặt, thí nghiệm, hiệu chỉnh, đào tạo và chuyển giao thiết bị</t>
  </si>
  <si>
    <t>Gtb_LD</t>
  </si>
  <si>
    <t>Phân bổ chi phí thiết bị cho các hạng mục, công trình</t>
  </si>
  <si>
    <t>Gtb_PB</t>
  </si>
  <si>
    <t>Chi phí xây dựng nhà tạm - Phần lắp đặt thiết bị</t>
  </si>
  <si>
    <t>Gtb_NT</t>
  </si>
  <si>
    <t>Gnttb</t>
  </si>
  <si>
    <t>Chi phí quản lý dự án</t>
  </si>
  <si>
    <t>Gqlda</t>
  </si>
  <si>
    <t>Thông tư 38/2026/TT-BXD</t>
  </si>
  <si>
    <t>Chi phí hoạt động của đơn vị quản lý dự án thuộc cơ quan nhà nước có thẩm quyền thực hiện dự án theo hình thức đối tác công tư (PPP)</t>
  </si>
  <si>
    <t>GqldaPPP</t>
  </si>
  <si>
    <t>Chi phí tư vấn đầu tư xây dựng</t>
  </si>
  <si>
    <t>Gtv</t>
  </si>
  <si>
    <t>5.1</t>
  </si>
  <si>
    <t>Chi phí khảo sát</t>
  </si>
  <si>
    <t>Gtv1</t>
  </si>
  <si>
    <t>Người dùng nhập ở cột Chi phí trước thuế hoặc Tạo và khai báo loại hạng mục "3. Khảo sát" bên sheet Công trình</t>
  </si>
  <si>
    <t>5.2</t>
  </si>
  <si>
    <t>Chi phí lập nhiệm vụ khảo sát xây dựng</t>
  </si>
  <si>
    <t>Glnvks</t>
  </si>
  <si>
    <t>Gtv2</t>
  </si>
  <si>
    <t>5.3</t>
  </si>
  <si>
    <t>Chi phí giám sát công tác khảo sát xây dựng</t>
  </si>
  <si>
    <t>Ggsks</t>
  </si>
  <si>
    <t>Gtv3</t>
  </si>
  <si>
    <t>Chi phí lập dự án</t>
  </si>
  <si>
    <t>Glapda</t>
  </si>
  <si>
    <t>Gtv4</t>
  </si>
  <si>
    <t>Chi phí thẩm tra tính hiệu quả và tính khả thi của dự án đầu tư</t>
  </si>
  <si>
    <t>Ghqkt</t>
  </si>
  <si>
    <t>Gtv5</t>
  </si>
  <si>
    <t>5.4</t>
  </si>
  <si>
    <t>Chi phí Lập báo cáo đánh giá tác động môi trường</t>
  </si>
  <si>
    <t>Gltdmt</t>
  </si>
  <si>
    <t>5.5</t>
  </si>
  <si>
    <t>Chi phí Thẩm định báo cáo đánh giá tác động môi trường (Thông tư 38/2023/TT-BTC)</t>
  </si>
  <si>
    <t>Gdgtdmt</t>
  </si>
  <si>
    <t>Thông tư 38/2023/TT-BTC</t>
  </si>
  <si>
    <t>5.6</t>
  </si>
  <si>
    <t>Chi phí lập báo cáo đề xuất chủ trương đầu tư</t>
  </si>
  <si>
    <t>Gbcdxctdt</t>
  </si>
  <si>
    <t>Gtv6</t>
  </si>
  <si>
    <t>5.7</t>
  </si>
  <si>
    <t>Chi phí lập báo cáo nghiên cứu tiền khả thi</t>
  </si>
  <si>
    <t>Gbcnctkt</t>
  </si>
  <si>
    <t>Gtv7</t>
  </si>
  <si>
    <t>5.8</t>
  </si>
  <si>
    <t>Chi phí lập báo cáo nghiên cứu khả thi</t>
  </si>
  <si>
    <t>Gbcnckt</t>
  </si>
  <si>
    <t>Gtv8</t>
  </si>
  <si>
    <t>5.9</t>
  </si>
  <si>
    <t>Chi phí lập báo cáo kinh tế - kỹ thuật</t>
  </si>
  <si>
    <t>Gbcktkt</t>
  </si>
  <si>
    <t>Gtv9</t>
  </si>
  <si>
    <t>5.10</t>
  </si>
  <si>
    <t>Chi phí thẩm tra báo cáo đề xuất chủ trương đầu tư</t>
  </si>
  <si>
    <t>Gttbcdxctdt</t>
  </si>
  <si>
    <t>Gtv10</t>
  </si>
  <si>
    <t>5.11</t>
  </si>
  <si>
    <t>Chi phí thẩm tra báo cáo nghiên cứu tiền khả thi</t>
  </si>
  <si>
    <t>Gttbcnctkt</t>
  </si>
  <si>
    <t>Gtv11</t>
  </si>
  <si>
    <t>5.12</t>
  </si>
  <si>
    <t>Chi phí thẩm tra báo cáo nghiên cứu khả thi</t>
  </si>
  <si>
    <t>Gttbcnckt</t>
  </si>
  <si>
    <t>Gtv12</t>
  </si>
  <si>
    <t>5.13</t>
  </si>
  <si>
    <t>Chi phí thẩm tra thiết kế công nghệ</t>
  </si>
  <si>
    <t>Gtttkcn</t>
  </si>
  <si>
    <t>Gtv13</t>
  </si>
  <si>
    <t>5.14</t>
  </si>
  <si>
    <t>Chi phí thẩm tra Báo cáo kinh tế - kỹ thuật, phần thiết kế</t>
  </si>
  <si>
    <t>Gttbcktkt_tk</t>
  </si>
  <si>
    <t>Gtv14</t>
  </si>
  <si>
    <t>5.15</t>
  </si>
  <si>
    <t>Chi phí thẩm tra Báo cáo kinh tế - kỹ thuật, phần dự toán</t>
  </si>
  <si>
    <t>Gttbcktkt_dt</t>
  </si>
  <si>
    <t>Gtv15</t>
  </si>
  <si>
    <t>5.16</t>
  </si>
  <si>
    <t>Chi phí thẩm định Báo cáo nghiên cứu khả thi</t>
  </si>
  <si>
    <t>Gtdbcnckt</t>
  </si>
  <si>
    <t>Gtv16</t>
  </si>
  <si>
    <t>Nếu cơ quan chuyên môn trực thuộc người quyết định đầu tư thì: 1. Trường hợp thuê đơn vị tư vấn thẩm tra phục vụ công tác thẩm định của cơ quan chuyên môn thì tính 15%;  2. Trường hợp cơ quan chuyên môn trực thuộc người quyết định đầu tư trực tiếp thẩm định thì tính 80%</t>
  </si>
  <si>
    <t>5.17</t>
  </si>
  <si>
    <t>Chi phí thẩm định Báo cáo kinh tế - kỹ thuật</t>
  </si>
  <si>
    <t>Gtdbcktkt</t>
  </si>
  <si>
    <t>Gtv17</t>
  </si>
  <si>
    <t>5.18</t>
  </si>
  <si>
    <t>Chi phí thi tuyển thiết kế kiến trúc</t>
  </si>
  <si>
    <t>Gkt</t>
  </si>
  <si>
    <t>Gtv18</t>
  </si>
  <si>
    <t>Người dùng nhập ở cột Chi phí trước thuế</t>
  </si>
  <si>
    <t>5.19</t>
  </si>
  <si>
    <t>Chi phí thiết kế kỹ thuật</t>
  </si>
  <si>
    <t>Gtk</t>
  </si>
  <si>
    <t>Gtv19</t>
  </si>
  <si>
    <t>5.20</t>
  </si>
  <si>
    <t>Chi phí thiết kế bản vẽ thi công</t>
  </si>
  <si>
    <t>Gtkbv</t>
  </si>
  <si>
    <t>Gtv20</t>
  </si>
  <si>
    <t>5.21</t>
  </si>
  <si>
    <t>Chi phí thiết kế - Phần thiết bị (khi Chi phí thiết bị ≥ 50% Tổng chi phí xây dựng và chi phí thiết bị)</t>
  </si>
  <si>
    <t>GtkThietBi</t>
  </si>
  <si>
    <t>Gtv21</t>
  </si>
  <si>
    <t>5.22</t>
  </si>
  <si>
    <t>Chi phí thẩm tra thiết kế xây dựng</t>
  </si>
  <si>
    <t>Gtttkkt</t>
  </si>
  <si>
    <t>Gtv22</t>
  </si>
  <si>
    <t>5.23</t>
  </si>
  <si>
    <t>Chi phí thẩm tra thiết kế bản vẽ thi công</t>
  </si>
  <si>
    <t>Gtttktc</t>
  </si>
  <si>
    <t>Gtv23</t>
  </si>
  <si>
    <t>5.24</t>
  </si>
  <si>
    <t>Chi phí thẩm tra dự toán công trình</t>
  </si>
  <si>
    <t>Gttdt</t>
  </si>
  <si>
    <t>Gtv24</t>
  </si>
  <si>
    <t>5.25</t>
  </si>
  <si>
    <t>Chi phí Lập hồ sơ mời thầu, đánh giá hồ sơ dự thầu thi công xây dựng</t>
  </si>
  <si>
    <t>Glcnt</t>
  </si>
  <si>
    <t>Gtv25</t>
  </si>
  <si>
    <t>5.26</t>
  </si>
  <si>
    <t>Chi phí lập hoặc thẩm định kế hoạch tổng thể lựa chọn nhà thầu (Nghị định 214/2025/NĐ-CP)</t>
  </si>
  <si>
    <t>Gltdkhttlcnt</t>
  </si>
  <si>
    <t>Gtv26</t>
  </si>
  <si>
    <t>Nghị định 214/2025/NĐ-CP</t>
  </si>
  <si>
    <t>5.27</t>
  </si>
  <si>
    <t>Chi phí lập hồ sơ mời quan tâm, hồ sơ mời sơ tuyển (Nghị định 214/2025/NĐ-CP)</t>
  </si>
  <si>
    <t>Glhsmqt</t>
  </si>
  <si>
    <t>0,1%*GGTXD (Dự toán gói thầu)</t>
  </si>
  <si>
    <t>Gtv27</t>
  </si>
  <si>
    <t>5.28</t>
  </si>
  <si>
    <t>Chi phí thẩm định hồ sơ mời quan tâm, hồ sơ mời sơ tuyển (Nghị định 214/2025/NĐ-CP)</t>
  </si>
  <si>
    <t>Gtdhsmqt</t>
  </si>
  <si>
    <t>0,06%*GGTXD (Dự toán gói thầu)</t>
  </si>
  <si>
    <t>Gtv28</t>
  </si>
  <si>
    <t>5.29</t>
  </si>
  <si>
    <t>Chi phí lập hồ sơ mời thầu, hồ sơ yêu cầu (Nghị định 214/2025/NĐ-CP)</t>
  </si>
  <si>
    <t>Glhsmt</t>
  </si>
  <si>
    <t>0,2%*GGTXD (Dự toán gói thầu)</t>
  </si>
  <si>
    <t>Gtv29</t>
  </si>
  <si>
    <t>5.30</t>
  </si>
  <si>
    <t>Chi phí thẩm định hồ sơ mời thầu, hồ sơ yêu cầu (Nghị định 214/2025/NĐ-CP)</t>
  </si>
  <si>
    <t>Gtdhsmt</t>
  </si>
  <si>
    <t>Gtv30</t>
  </si>
  <si>
    <t>5.31</t>
  </si>
  <si>
    <t>Chi phí đánh giá hồ sơ quan tâm, hồ sơ dự sơ tuyển (Nghị định 214/2025/NĐ-CP)</t>
  </si>
  <si>
    <t>Gdghsqt</t>
  </si>
  <si>
    <t>Gtv31</t>
  </si>
  <si>
    <t>5.32</t>
  </si>
  <si>
    <t>Chi phí đánh giá hồ sơ dự thầu, hồ sơ đề xuất (Nghị định 214/2025/NĐ-CP)</t>
  </si>
  <si>
    <t>Gdghsdt</t>
  </si>
  <si>
    <t>Gtv32</t>
  </si>
  <si>
    <t>5.33</t>
  </si>
  <si>
    <t>Chi phí thẩm định kết quả lựa chọn nhà thầu (Nghị định 214/2025/NĐ-CP)</t>
  </si>
  <si>
    <t>Gtdkqnt</t>
  </si>
  <si>
    <t>Gtv33</t>
  </si>
  <si>
    <t>5.34</t>
  </si>
  <si>
    <t>Chi phí cho Hội đồng tư vấn giải quyết kiến nghị của nhà thầu (Nghị định 214/2025/NĐ-CP)</t>
  </si>
  <si>
    <t>Ghdtvgqkn</t>
  </si>
  <si>
    <t>0,015%-0,03%*GGTXD (Dự toán gói thầu)</t>
  </si>
  <si>
    <t>Gtv34</t>
  </si>
  <si>
    <t>5.35</t>
  </si>
  <si>
    <t>Chi phí giám sát thi công xây dựng</t>
  </si>
  <si>
    <t>Ggstcxd</t>
  </si>
  <si>
    <t>Gtv35</t>
  </si>
  <si>
    <t>5.36</t>
  </si>
  <si>
    <t>Chi phí lập hồ sơ mời thầu, đánh giá hồ sơ dự thầu mua sắm thiết bị</t>
  </si>
  <si>
    <t>Glcldtb</t>
  </si>
  <si>
    <t>Gtv36</t>
  </si>
  <si>
    <t>5.37</t>
  </si>
  <si>
    <t>Chi phí lập hồ sơ mời quan tâm, đánh giá hồ sơ quan tâm</t>
  </si>
  <si>
    <t>Glhsmqt79</t>
  </si>
  <si>
    <t>Gtv37</t>
  </si>
  <si>
    <t>5.38</t>
  </si>
  <si>
    <t>Chi phí lập hồ sơ yêu cầu, đánh giá hồ sơ đề xuất</t>
  </si>
  <si>
    <t>Glhsyc79</t>
  </si>
  <si>
    <t>Gtv38</t>
  </si>
  <si>
    <t>5.39</t>
  </si>
  <si>
    <t>Chi phí giám sát lắp đặt thiết bị</t>
  </si>
  <si>
    <t>Ggsldtb</t>
  </si>
  <si>
    <t>Gtv39</t>
  </si>
  <si>
    <t>5.40</t>
  </si>
  <si>
    <t>Chi phí Lập hồ sơ mời thầu, đánh giá hồ sơ dự thầu tư vấn</t>
  </si>
  <si>
    <t>Gthautv</t>
  </si>
  <si>
    <t>Gtv40</t>
  </si>
  <si>
    <t>5.41</t>
  </si>
  <si>
    <t>Chi phí lập mô hình thủy lực và thí nghiệm mô hình</t>
  </si>
  <si>
    <t>Glmhtl</t>
  </si>
  <si>
    <t>Gtv41</t>
  </si>
  <si>
    <t>5.42</t>
  </si>
  <si>
    <t>Chi phí tư vấn khác</t>
  </si>
  <si>
    <t>Gtuvankhac</t>
  </si>
  <si>
    <t>Gtv42</t>
  </si>
  <si>
    <t>Người dùng nhập ở cột Chi phí trước thuế hoặc Tạo và khai báo loại hạng mục "8. Tư vấn; 9. Tư vấn khác hoặc 10. Thí nghiệm chuyên ngành xây dựng" bên sheet Công trình</t>
  </si>
  <si>
    <t>Chi phí khác</t>
  </si>
  <si>
    <t>Gk</t>
  </si>
  <si>
    <t>6.1</t>
  </si>
  <si>
    <t>Chi phí rà phá bom mìn, vật nổ</t>
  </si>
  <si>
    <t>Gbommin</t>
  </si>
  <si>
    <t>Gk1</t>
  </si>
  <si>
    <t>6.2</t>
  </si>
  <si>
    <t>Chi phí hạng mục chung, phụ trợ khác</t>
  </si>
  <si>
    <t>Ghmc</t>
  </si>
  <si>
    <t>Gk2</t>
  </si>
  <si>
    <t>Người dùng nhập ở cột Chi phí trước thuế hoặc Tạo và khai báo loại hạng mục "5. Nhà tạm hoặc 6. Chi phí khác" bên sheet Công trình</t>
  </si>
  <si>
    <t>6.3</t>
  </si>
  <si>
    <t>Phí thẩm định thiết kế xây dựng triển khai sau thiết kế cơ sở (Thông tư 27/2023/TT-BTC)</t>
  </si>
  <si>
    <t>Gtttk_BTC</t>
  </si>
  <si>
    <t>Gk3</t>
  </si>
  <si>
    <t>Thông tư 27/2023/TT-BTC</t>
  </si>
  <si>
    <t>6.4</t>
  </si>
  <si>
    <t>Phí thẩm định dự toán xây dựng (Thông tư 27/2023/TT-BTC)</t>
  </si>
  <si>
    <t>Gttdt_BTC</t>
  </si>
  <si>
    <t>Gk4</t>
  </si>
  <si>
    <t>6.5</t>
  </si>
  <si>
    <t>Phí thẩm định dự án đầu tư xây dựng: 500.000 (đ)</t>
  </si>
  <si>
    <t>Gthamdinh</t>
  </si>
  <si>
    <t>Gk5</t>
  </si>
  <si>
    <t>6.6</t>
  </si>
  <si>
    <t>Phí thẩm định dự án đầu tư xây dựng đã được phê duyệt trong Tổng mức đầu tư</t>
  </si>
  <si>
    <t>Gthamdinh1</t>
  </si>
  <si>
    <t>Gk6</t>
  </si>
  <si>
    <t>Nếu là Tổng dự toán thì người dùng nhập ở cột Chi phí trước thuế giá trị của Phí thẩm định dự án ĐTXD đã được phê duyệt trong Tổng mức đầu tư trước đó</t>
  </si>
  <si>
    <t>6.7</t>
  </si>
  <si>
    <t>Phí thẩm định thiết kế cơ sở (Thông tư 28/2023/TT-BTC)</t>
  </si>
  <si>
    <t>GthamdinhTKCSTruoc</t>
  </si>
  <si>
    <t>Gk7</t>
  </si>
  <si>
    <t>Thông tư 28/2023/TT-BTC</t>
  </si>
  <si>
    <t>6.8</t>
  </si>
  <si>
    <t>Phí thẩm định phê duyệt thiết kế về phòng cháy và chữa cháy: 500.000 (đ)</t>
  </si>
  <si>
    <t>GthamdinhPCCC</t>
  </si>
  <si>
    <t>Gk8</t>
  </si>
  <si>
    <t>Thông tư 70/2025/TT-BTC</t>
  </si>
  <si>
    <t>6.9</t>
  </si>
  <si>
    <t>Phí thẩm định phê duyệt thiết kế về phòng cháy và chữa cháy đã được duyệt trong Tổng mức đầu tư</t>
  </si>
  <si>
    <t>GthamdinhPCCC1</t>
  </si>
  <si>
    <t>Gk9</t>
  </si>
  <si>
    <t>Nếu là Tổng dự toán thì người dùng nhập ở cột Chi phí trước thuế giá trị của Phí thẩm định phê duyệt thiết kế về PCCC đã được phê duyệt trong Tổng mức đầu tư trước đó</t>
  </si>
  <si>
    <t>6.10</t>
  </si>
  <si>
    <t>Chi phí thẩm tra, phê duyệt quyết toán</t>
  </si>
  <si>
    <t>Gthamtra</t>
  </si>
  <si>
    <t>Gk10</t>
  </si>
  <si>
    <t>Nghị định 193/2026/NĐ-CP</t>
  </si>
  <si>
    <t>6.11</t>
  </si>
  <si>
    <t>Chi phí thẩm tra, phê duyệt quyết toán. Tối thiểu 500.000 đ</t>
  </si>
  <si>
    <t>Gthamtra_500K</t>
  </si>
  <si>
    <t>Gk11</t>
  </si>
  <si>
    <t>Ngày 07/01/2026 Bộ Tài chính hướng dẫn: Đối với công trình, dự án do chủ đầu tư đề nghị thẩm tra, phê duyệt có giá trị dưới 5 tỷ đồng thì chi phí thẩm tra, phê duyệt quyết toán là năm trăm nghìn đồng./.
Chi tiết tại link sau:  https://portal.mof.gov.vn/hoidapcstc/home/cthoidap/157640</t>
  </si>
  <si>
    <t>6.12</t>
  </si>
  <si>
    <t>Chi phí kiểm toán độc lập</t>
  </si>
  <si>
    <t>Gkiemtoan</t>
  </si>
  <si>
    <t>Gk12</t>
  </si>
  <si>
    <t>6.13</t>
  </si>
  <si>
    <t>Phí bảo hiểm công trình (Phụ lục III - Nghị định 67/2023/NĐ-CP)</t>
  </si>
  <si>
    <t>Gbaohiem</t>
  </si>
  <si>
    <t>Gk13</t>
  </si>
  <si>
    <t>Phụ lục III - Nghị định 67/2023/NĐ-CP</t>
  </si>
  <si>
    <t>6.14</t>
  </si>
  <si>
    <t>Phí bảo hiểm trách nhiệm nghề nghiệp Tư vấn đầu tư xây dựng (Phụ lục IV - Nghị định 67/2023/NĐ-CP)</t>
  </si>
  <si>
    <t>Gbaohiemtuvan</t>
  </si>
  <si>
    <t>Gk14</t>
  </si>
  <si>
    <t>Phụ lục IV - Nghị định 67/2023/NĐ-CP</t>
  </si>
  <si>
    <t>6.15</t>
  </si>
  <si>
    <t>Chi phí kiểm tra công tác nghiệm thu công trình xây dựng (Thông tư 10/2021/TT-BXD)</t>
  </si>
  <si>
    <t>Gkiemtranghiemthu</t>
  </si>
  <si>
    <t>Gk15</t>
  </si>
  <si>
    <t>Thông tư 10/2021/TT-BXD</t>
  </si>
  <si>
    <t>Chi phí dự phòng</t>
  </si>
  <si>
    <t>Gdp1 + Gdp2</t>
  </si>
  <si>
    <t>7.1</t>
  </si>
  <si>
    <t>Chi phí dự phòng cho yếu tố khối lượng phát sinh</t>
  </si>
  <si>
    <t>Gdp1</t>
  </si>
  <si>
    <t>Người dùng khai báo tỷ lệ % cho Hệ số CP dự phòng của hạng mục xây dựng đầu tiên trong menu: "Công trình/ Hệ số chi phí xây lắp"</t>
  </si>
  <si>
    <t>7.2</t>
  </si>
  <si>
    <t>Chi phí dự phòng cho yếu tố trượt giá</t>
  </si>
  <si>
    <t>Gdp2</t>
  </si>
  <si>
    <t>= 'Dự phòng'!H16</t>
  </si>
  <si>
    <t>Được link kết quả từ sheet "Dự phòng" sang</t>
  </si>
  <si>
    <t>Gtmdt</t>
  </si>
  <si>
    <t>Nội suy theo Tổng mức đầu tư: OK</t>
  </si>
  <si>
    <t>Chi phí thẩm định, thẩm tra, kiểm toán</t>
  </si>
  <si>
    <t>Gthamdinhkiemtoan</t>
  </si>
  <si>
    <t>Phí thẩm định dự án đầu tư xây dựng (Thông tư 209/2016/TT-BTC)</t>
  </si>
  <si>
    <t>GthamdinhSau</t>
  </si>
  <si>
    <t>Gkt1</t>
  </si>
  <si>
    <t>Phí thẩm định thiết kế cơ sở (Thông tư 209/2016/TT-BTC)</t>
  </si>
  <si>
    <t>GthamdinhTKCS</t>
  </si>
  <si>
    <t>Gkt2</t>
  </si>
  <si>
    <t>GthamtraSau</t>
  </si>
  <si>
    <t>Gkt3</t>
  </si>
  <si>
    <t>GkiemtoanSau</t>
  </si>
  <si>
    <t>Gkt4</t>
  </si>
  <si>
    <t>TỔNG CỘNG (SAU KIỂM TOÁN)</t>
  </si>
  <si>
    <t>GtmdtSau</t>
  </si>
  <si>
    <t>Glamtron</t>
  </si>
  <si>
    <t>Bằng chữ: Hai tỷ năm trăm mười chín triệu không trăm mười ba nghìn đồng chẵn./.</t>
  </si>
  <si>
    <t>BẢNG CHI TIẾT KHỐI LƯỢNG CÔNG TÁC XÂY DỰNG</t>
  </si>
  <si>
    <t>Ký hiệu bản vẽ</t>
  </si>
  <si>
    <t>Mã hiệu công tác</t>
  </si>
  <si>
    <t>Danh mục công tác</t>
  </si>
  <si>
    <t>Đơn vị tính</t>
  </si>
  <si>
    <t>Số bộ phận giống nhau</t>
  </si>
  <si>
    <t>Diễn giải tính toán</t>
  </si>
  <si>
    <t>Khối lượng một bộ phận</t>
  </si>
  <si>
    <t>Khối lượng toàn bộ</t>
  </si>
  <si>
    <t>Ghi chú</t>
  </si>
  <si>
    <t>(1)</t>
  </si>
  <si>
    <t>(2)</t>
  </si>
  <si>
    <t>(3)</t>
  </si>
  <si>
    <t>(4)</t>
  </si>
  <si>
    <t>(5)</t>
  </si>
  <si>
    <t>(6)</t>
  </si>
  <si>
    <t>(7)</t>
  </si>
  <si>
    <t>(8)</t>
  </si>
  <si>
    <t>(9)</t>
  </si>
  <si>
    <t>(10)</t>
  </si>
  <si>
    <t>NGƯỜI LẬP                                                                              NGƯỜI CHỦ TRÌ</t>
  </si>
  <si>
    <t>Bù VL</t>
  </si>
  <si>
    <t>NC XL</t>
  </si>
  <si>
    <t>NC đất</t>
  </si>
  <si>
    <t>Ca máy</t>
  </si>
  <si>
    <t>BẢNG CHIẾT TÍNH DỰ THẦU HẠNG MỤC CÔNG TRÌNH</t>
  </si>
  <si>
    <t>Cộng chi phí trực tiếp (VL+NC+M)</t>
  </si>
  <si>
    <t>Chi phí lập phương án kỹ thuật khảo sát (T + GT + TL) x 2%</t>
  </si>
  <si>
    <t>Chi phí lập báo cáo kết quả khảo sát (T + GT + TL) x 3%</t>
  </si>
  <si>
    <t>Cộng chi phí phục vụ công tác khảo sát (Cpa + Cbc)</t>
  </si>
  <si>
    <t>Chi phí khảo sát xây dựng trước thuế (T + GT + TL + Cpvks)</t>
  </si>
  <si>
    <t>Chi phí khảo sát sau thuế (G + GTGT)</t>
  </si>
  <si>
    <t>Chi phí Dự phòng (Gks x 0%)</t>
  </si>
  <si>
    <t>Chi phí khảo sát xây dựng (Gks + LT + Gdp)</t>
  </si>
  <si>
    <t>BẢNG HỆ SỐ CHI PHÍ XÂY DỰNG</t>
  </si>
  <si>
    <t>Nội dung chi phí</t>
  </si>
  <si>
    <t>Cách tính</t>
  </si>
  <si>
    <t>Bù V.L</t>
  </si>
  <si>
    <t>NC Đất</t>
  </si>
  <si>
    <t>BẢNG ĐƠN GIÁ DỰ THẦU HẠNG MỤC CÔNG TRÌNH</t>
  </si>
  <si>
    <t>Bằng chữ: Một tỷ bảy trăm mười ba triệu bảy trăm ba mươi nghìn hai trăm sáu mươi tư đồng chẵn./.</t>
  </si>
  <si>
    <t>TỔNG HỢP DỰ TOÁN GÓI THẦU</t>
  </si>
  <si>
    <t xml:space="preserve">Tên dự án: </t>
  </si>
  <si>
    <t>Tên gói thầu: XÂY DỰNG NHÀ Ở CHO LỰC LƯỢNG VŨ TRANG CÔNG AN NHÂN DÂN (NHÀ Ở XÃ HỘI CHO CÁN BỘ, CHIẾN SỸ CÔNG AN) TẠI CÁC Ô ĐẤT CE-ODK3 VÀ C3-ODK4 THUỘC QUY HOẠCH PHÂN KHU ĐÔ THỊ H2-4, PHƯỜNG YÊN SỞ, THÀNH PHỐ HÀ NỘI</t>
  </si>
  <si>
    <t xml:space="preserve">Thời điểm lập dự toán gói thầu: </t>
  </si>
  <si>
    <t xml:space="preserve">Thời gian thực hiện gói thầu: </t>
  </si>
  <si>
    <t>KHOẢN MỤC CHI PHÍ</t>
  </si>
  <si>
    <t>GIÁ TRỊ TRƯỚC THUẾ</t>
  </si>
  <si>
    <t>THUẾ GTGT</t>
  </si>
  <si>
    <t>GIÁ TRỊ SAU THUẾ</t>
  </si>
  <si>
    <t>Ghi chú, hướng dẫn</t>
  </si>
  <si>
    <t>[1]</t>
  </si>
  <si>
    <t>[2]</t>
  </si>
  <si>
    <t>[3]</t>
  </si>
  <si>
    <t>[4]</t>
  </si>
  <si>
    <t>[5]</t>
  </si>
  <si>
    <t>[6]</t>
  </si>
  <si>
    <t>Chi phí xây dựng của gói thầu</t>
  </si>
  <si>
    <t>GXD</t>
  </si>
  <si>
    <t>*</t>
  </si>
  <si>
    <t>Chi phí do Bên A cấp</t>
  </si>
  <si>
    <t>GA</t>
  </si>
  <si>
    <t>Chi phí do Bên B đấu thầu</t>
  </si>
  <si>
    <t>GB</t>
  </si>
  <si>
    <t>Chi phí khác có liên quan của gói thầu</t>
  </si>
  <si>
    <t>GKXD</t>
  </si>
  <si>
    <t>Người dùng Tạo và khai báo loại hạng mục "5. Nhà tạm hoặc 6. Chi phí khác" bên sheet Công trình</t>
  </si>
  <si>
    <t>Chi phí dự phòng (GDPXD1 + GDPXD2)</t>
  </si>
  <si>
    <t>GDPXD</t>
  </si>
  <si>
    <t>3.1</t>
  </si>
  <si>
    <t>GDPXD1</t>
  </si>
  <si>
    <t>3.2</t>
  </si>
  <si>
    <t>GDPXD2</t>
  </si>
  <si>
    <t>Được link kết quả từ sheet "Dự phòng thầu" sang</t>
  </si>
  <si>
    <t>GGTXD</t>
  </si>
  <si>
    <t>Cộng hòa xã hội chủ nghĩa Việt Nam</t>
  </si>
  <si>
    <t>Độc lập - Tự do - Hạnh phúc</t>
  </si>
  <si>
    <t>*****</t>
  </si>
  <si>
    <t>HỒ SƠ DỰ TOÁN</t>
  </si>
  <si>
    <t>CÔNG TRÌNH:</t>
  </si>
  <si>
    <t>ĐỊA ĐIỂM XD:</t>
  </si>
  <si>
    <t>CHỦ ĐẦU TƯ:</t>
  </si>
  <si>
    <t>ĐƠN VỊ THI CÔNG:</t>
  </si>
  <si>
    <t>THỰC HIỆN:</t>
  </si>
  <si>
    <t>Hà Nội 08/2026</t>
  </si>
  <si>
    <t>THUYẾT MINH DỰ TOÁN</t>
  </si>
  <si>
    <t xml:space="preserve"> I. CƠ SỞ LẬP DỰ TOÁN:</t>
  </si>
  <si>
    <t>- Căn cứ Nghị định số 206/2026/NĐ-CP do Chính Phủ ban hành ngày 15/06/2026 về: Quy định chi tiết về quản lý chi phí đầu tư xây dựng.</t>
  </si>
  <si>
    <t>- Căn cứ Thông tư số 36/2026/TT-BXD do Bộ Xây Dựng ban hành ngày 26/06/2026 về: Hướng dẫn một số nội dung, phương pháp xác định và quản lý chi phí đầu tư xây dựng.</t>
  </si>
  <si>
    <t>- Căn cứ Thông tư số 37/2026/TT-BXD do Bộ Xây Dựng ban hành ngày 26/06/2026 về: Hướng dẫn phương pháp xác định định mức dự toán và các chỉ tiêu kinh tế kỹ thuật.</t>
  </si>
  <si>
    <t>- Căn cứ Thông tư số 38/2026/TT-BXD do Bộ Xây Dựng ban hành ngày 26/06/2026 về: Ban hành định mức xây dựng.</t>
  </si>
  <si>
    <t>- HD 14502/SXD-KTXD năm 2026 của TP Hà Nội về: Bảng giá nhân công</t>
  </si>
  <si>
    <t xml:space="preserve"> II. GIÁ TRỊ DỰ TOÁN:</t>
  </si>
  <si>
    <t>(Bằng chữ : Hai tỷ năm trăm mười chín triệu không trăm mười ba nghìn đồng chẵn./. )</t>
  </si>
  <si>
    <t>.</t>
  </si>
  <si>
    <t>BẢNG HỆ SỐ CHI PHÍ XÂY LẮP</t>
  </si>
  <si>
    <t>Hệ số chi phí xây lắp</t>
  </si>
  <si>
    <t>Diễn giải hệ số</t>
  </si>
  <si>
    <t>Hệ số riêng Vật liệu</t>
  </si>
  <si>
    <t>Hệ số Vật liệu phụ</t>
  </si>
  <si>
    <t>0</t>
  </si>
  <si>
    <t>Hệ số riêng Nhân công</t>
  </si>
  <si>
    <t>Hệ số Bù Nhân công</t>
  </si>
  <si>
    <t>Hệ số riêng Nhân công đất</t>
  </si>
  <si>
    <t>Hệ số Bù Nhân công đất</t>
  </si>
  <si>
    <t>Hệ số riêng Máy</t>
  </si>
  <si>
    <t>Hệ số Bù Máy</t>
  </si>
  <si>
    <t>Trực tiếp phí khác</t>
  </si>
  <si>
    <t>Chi phí chung cho công tác đất thủ công</t>
  </si>
  <si>
    <t>0%</t>
  </si>
  <si>
    <t>Thu nhập chịu thuế tính trước</t>
  </si>
  <si>
    <t>Lán trại nhà tạm</t>
  </si>
  <si>
    <t>Gián tiếp khác</t>
  </si>
  <si>
    <t>ĐỊNH MỨC QUẢN LÝ DỰ ÁN VÀ TƯ VẤN</t>
  </si>
  <si>
    <t>Tên chi phí</t>
  </si>
  <si>
    <t>Loại, cấp công trình</t>
  </si>
  <si>
    <t>Chi phí (tỷ đồng)</t>
  </si>
  <si>
    <t>Nội suy</t>
  </si>
  <si>
    <t>Thông tư 38/2023/TT-BTC
Đơn vị tính: đồng</t>
  </si>
  <si>
    <t>Bảng định vị</t>
  </si>
  <si>
    <t>4</t>
  </si>
  <si>
    <t>5</t>
  </si>
  <si>
    <t>6</t>
  </si>
  <si>
    <t>7</t>
  </si>
  <si>
    <t>8</t>
  </si>
  <si>
    <t>9</t>
  </si>
  <si>
    <t>10</t>
  </si>
  <si>
    <t>11</t>
  </si>
  <si>
    <t>12</t>
  </si>
  <si>
    <t>13</t>
  </si>
  <si>
    <t>14</t>
  </si>
  <si>
    <t>15</t>
  </si>
  <si>
    <t>16</t>
  </si>
  <si>
    <t>17</t>
  </si>
  <si>
    <t>18</t>
  </si>
  <si>
    <t>19</t>
  </si>
  <si>
    <t>20</t>
  </si>
  <si>
    <t>21</t>
  </si>
  <si>
    <t>22</t>
  </si>
  <si>
    <t>Công trình</t>
  </si>
  <si>
    <t>Đơn giá, CSDL</t>
  </si>
  <si>
    <t>Mẫu tính toán</t>
  </si>
  <si>
    <t>Hệ số chung công trình</t>
  </si>
  <si>
    <t>Tiêu đề bảng</t>
  </si>
  <si>
    <t>Phông chữ sheet Tiên lượng</t>
  </si>
  <si>
    <t>Màu sắc sheet Tiên lượng</t>
  </si>
  <si>
    <t>Phông chữ các bảng khác</t>
  </si>
  <si>
    <t>Chữ ký</t>
  </si>
  <si>
    <t>Làm tròn số học</t>
  </si>
  <si>
    <t>Hạng mục</t>
  </si>
  <si>
    <t>Tổng hạng mục</t>
  </si>
  <si>
    <t>Giai đoạn QT</t>
  </si>
  <si>
    <t>Tổng giai đoạn QT</t>
  </si>
  <si>
    <t>34</t>
  </si>
  <si>
    <t>44</t>
  </si>
  <si>
    <t>53</t>
  </si>
  <si>
    <t>68</t>
  </si>
  <si>
    <t>71</t>
  </si>
  <si>
    <t>78</t>
  </si>
  <si>
    <t>74</t>
  </si>
  <si>
    <t>Thông tin chung về Công trình</t>
  </si>
  <si>
    <t>Tên công trình</t>
  </si>
  <si>
    <t>Địa điểm XD</t>
  </si>
  <si>
    <t>Chủ đầu tư</t>
  </si>
  <si>
    <t>Đơn vị thi công</t>
  </si>
  <si>
    <t>Loại (Dự, quyết toán )</t>
  </si>
  <si>
    <t>Loại công trình</t>
  </si>
  <si>
    <t>Loại thiết kế</t>
  </si>
  <si>
    <t>Cấp công trình</t>
  </si>
  <si>
    <t>Hệ số K, điều chỉnh TKế</t>
  </si>
  <si>
    <t>Công văn</t>
  </si>
  <si>
    <t>H.s chi phí Dự phòng</t>
  </si>
  <si>
    <t>#~##~##~#</t>
  </si>
  <si>
    <t>Đơn giá , Cơ sở dữ liệu</t>
  </si>
  <si>
    <t>Tỉnh - TP</t>
  </si>
  <si>
    <t>Giá tháng</t>
  </si>
  <si>
    <t>Cước cơ giới</t>
  </si>
  <si>
    <t>Cước thủ công</t>
  </si>
  <si>
    <t>GVL38_2026XD</t>
  </si>
  <si>
    <t>#~#Hà Nội#~#HaNoi</t>
  </si>
  <si>
    <t>Chiết tính</t>
  </si>
  <si>
    <t>Tổng hợp kinh phí HM</t>
  </si>
  <si>
    <t>Tổng hợp kinh phí công trình</t>
  </si>
  <si>
    <t>Nhóm công trình</t>
  </si>
  <si>
    <t>Hệ số ...</t>
  </si>
  <si>
    <t>Tên Bảng</t>
  </si>
  <si>
    <t>Tiêu đề</t>
  </si>
  <si>
    <t>Tiên lượng</t>
  </si>
  <si>
    <t>Giá Tháng</t>
  </si>
  <si>
    <t>Phân tích vật tư</t>
  </si>
  <si>
    <t>BẢNG PHÂN TÍCH VẬT TƯ HẠNG MỤC CÔNG TRÌNH</t>
  </si>
  <si>
    <t>Tổng hợp vật tư</t>
  </si>
  <si>
    <t>Cước vận chuyển</t>
  </si>
  <si>
    <t>BẢNG CƯỚC VẬN CHUYỂN</t>
  </si>
  <si>
    <t>Cước vận chuyển bình quân</t>
  </si>
  <si>
    <t>BẢNG CƯỚC VẬN CHUYỂN BÌNH QUÂN</t>
  </si>
  <si>
    <t>Tổng hợp kinh phí hạng mục</t>
  </si>
  <si>
    <t>Tổng hợp chi phí thiết bị</t>
  </si>
  <si>
    <t>Tổng hợp chi phí XD</t>
  </si>
  <si>
    <t>Tổng hợp kinh phí</t>
  </si>
  <si>
    <t>Dự thầu</t>
  </si>
  <si>
    <t>Bìa</t>
  </si>
  <si>
    <t>Đơn giá Tổng hợp</t>
  </si>
  <si>
    <t>BẢNG ĐƠN GIÁ TỔNG HỢP HẠNG MỤC CÔNG TRÌNH</t>
  </si>
  <si>
    <t>Thành phần</t>
  </si>
  <si>
    <t>Tên phông chữ</t>
  </si>
  <si>
    <t>Cỡ chữ</t>
  </si>
  <si>
    <t>Bold</t>
  </si>
  <si>
    <t>Italic</t>
  </si>
  <si>
    <t>Underline</t>
  </si>
  <si>
    <t>Strikeout</t>
  </si>
  <si>
    <t>Công tác</t>
  </si>
  <si>
    <t>Times New Roman</t>
  </si>
  <si>
    <t>Diễn giải</t>
  </si>
  <si>
    <t>Nhóm</t>
  </si>
  <si>
    <t>Tiêu đề bảng TL</t>
  </si>
  <si>
    <t>Tên hạng mục</t>
  </si>
  <si>
    <t>Tên bảng</t>
  </si>
  <si>
    <t>A</t>
  </si>
  <si>
    <t>R</t>
  </si>
  <si>
    <t>B</t>
  </si>
  <si>
    <t>255</t>
  </si>
  <si>
    <t>Diễn giải lỗi</t>
  </si>
  <si>
    <t>Tạm tính</t>
  </si>
  <si>
    <t>165</t>
  </si>
  <si>
    <t>42</t>
  </si>
  <si>
    <t>128</t>
  </si>
  <si>
    <t>139</t>
  </si>
  <si>
    <t>Phông chữ tiêu đề bảng</t>
  </si>
  <si>
    <t>Cỡ chữ tiêu đề bảng</t>
  </si>
  <si>
    <t>Chữ ký (Cho phép User tự do đánh dấu cách )</t>
  </si>
  <si>
    <t>Chức danh</t>
  </si>
  <si>
    <t>Họ và tên người ký</t>
  </si>
  <si>
    <t>Tròn hao phí Đ.M</t>
  </si>
  <si>
    <t>Tròn khối lượng</t>
  </si>
  <si>
    <t>Tròn giá vật tư</t>
  </si>
  <si>
    <t>Tròn đơn giá công tác</t>
  </si>
  <si>
    <t>Tròn thành tiền</t>
  </si>
  <si>
    <t>Tròn tổng thành tiền</t>
  </si>
  <si>
    <t>Tròn Hệ số</t>
  </si>
  <si>
    <t>Thông tin về Hạng mục</t>
  </si>
  <si>
    <t>Tổng số hạng mục</t>
  </si>
  <si>
    <t>Danh sách các Hạng mục</t>
  </si>
  <si>
    <t>Hệ số chi phí chung</t>
  </si>
  <si>
    <t>H.S thu nhập chịu thuế TT</t>
  </si>
  <si>
    <t>H.S riêng VL</t>
  </si>
  <si>
    <t>Hệ số VL phụ</t>
  </si>
  <si>
    <t>H.S riêng NC</t>
  </si>
  <si>
    <t>H.S bù NC</t>
  </si>
  <si>
    <t>H.S riêng NC đất</t>
  </si>
  <si>
    <t>H.S bù NC đất</t>
  </si>
  <si>
    <t>H.S riêng Máy</t>
  </si>
  <si>
    <t>H.S bù Máy</t>
  </si>
  <si>
    <t>H.S VAT</t>
  </si>
  <si>
    <t>HS Lán trại</t>
  </si>
  <si>
    <t>H.S CP Trực tiếp</t>
  </si>
  <si>
    <t>H.S đảm bảo ATGT</t>
  </si>
  <si>
    <t>H.S VAT TB</t>
  </si>
  <si>
    <t>PP tính CPC</t>
  </si>
  <si>
    <t>Hệ số CPC đất</t>
  </si>
  <si>
    <t>Hs Chi phi du phong</t>
  </si>
  <si>
    <t>Mã đất đầu</t>
  </si>
  <si>
    <t>Mã đất cuối</t>
  </si>
  <si>
    <t>Loại HM</t>
  </si>
  <si>
    <t>HsCPC</t>
  </si>
  <si>
    <t>HsTNCTTT</t>
  </si>
  <si>
    <t>HsrVL</t>
  </si>
  <si>
    <t>HsVLP</t>
  </si>
  <si>
    <t>HsrNC</t>
  </si>
  <si>
    <t>HsbNC</t>
  </si>
  <si>
    <t>HsrNCDat</t>
  </si>
  <si>
    <t>HsbNCDat</t>
  </si>
  <si>
    <t>HsrMay</t>
  </si>
  <si>
    <t>HsbMay</t>
  </si>
  <si>
    <t>VAT</t>
  </si>
  <si>
    <t>HsLT</t>
  </si>
  <si>
    <t>HsTtKhac</t>
  </si>
  <si>
    <t>HsATGT</t>
  </si>
  <si>
    <t>HsCPCDat</t>
  </si>
  <si>
    <t>HsCpDp</t>
  </si>
  <si>
    <t>MaNcDatDau</t>
  </si>
  <si>
    <t>MaNcDatCuoi</t>
  </si>
  <si>
    <t>T70%</t>
  </si>
  <si>
    <t>T6%</t>
  </si>
  <si>
    <t>T1</t>
  </si>
  <si>
    <t>T0</t>
  </si>
  <si>
    <t>T0,1</t>
  </si>
  <si>
    <t>T2%</t>
  </si>
  <si>
    <t>T0,06</t>
  </si>
  <si>
    <t>AB</t>
  </si>
  <si>
    <t>1~0~1~11~2~3~0~0~0~0~0~0~0~0~0~0~0~0.9~0~0.9~0~-9999~-9999~1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</si>
</sst>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
    <numFmt numFmtId="167" formatCode="dd/mm/yy"/>
    <numFmt numFmtId="168" formatCode="#,##0.###;\-#,##0.###"/>
    <numFmt numFmtId="169" formatCode="#,##0.######;\-#,##0.######"/>
    <numFmt numFmtId="170" formatCode="0.#####\ %;\-0.#####\ %"/>
    <numFmt numFmtId="171" formatCode="#,##0.#######;\-#,##0.#######"/>
  </numFmts>
  <fonts count="316" x14ac:knownFonts="1">
    <font>
      <sz val="8.25"/>
      <name val="Microsoft Sans Serif"/>
    </font>
    <font>
      <sz val="8.25"/>
      <name val="Microsoft Sans Serif"/>
    </font>
    <font>
      <sz val="11"/>
      <name val="Times New Roman"/>
      <charset val="1"/>
    </font>
    <font>
      <b/>
      <sz val="15"/>
      <name val="Times New Roman"/>
      <charset val="1"/>
    </font>
    <font>
      <b/>
      <sz val="15"/>
      <name val="Times New Roman"/>
      <charset val="1"/>
    </font>
    <font>
      <b/>
      <sz val="15"/>
      <name val="Times New Roman"/>
      <charset val="1"/>
    </font>
    <font>
      <b/>
      <sz val="15"/>
      <name val="Times New Roman"/>
      <charset val="1"/>
    </font>
    <font>
      <b/>
      <sz val="15"/>
      <name val="Times New Roman"/>
      <charset val="1"/>
    </font>
    <font>
      <b/>
      <sz val="15"/>
      <color rgb="FF808080"/>
      <name val="Times New Roman"/>
      <charset val="1"/>
    </font>
    <font>
      <b/>
      <sz val="15"/>
      <name val="Times New Roman"/>
      <charset val="1"/>
    </font>
    <font>
      <b/>
      <sz val="15"/>
      <name val="Times New Roman"/>
      <charset val="1"/>
    </font>
    <font>
      <b/>
      <sz val="15"/>
      <color rgb="FF808080"/>
      <name val="Times New Roman"/>
      <charset val="1"/>
    </font>
    <font>
      <b/>
      <sz val="12"/>
      <name val="Times New Roman"/>
      <charset val="1"/>
    </font>
    <font>
      <b/>
      <sz val="12"/>
      <name val="Times New Roman"/>
      <charset val="1"/>
    </font>
    <font>
      <b/>
      <sz val="12"/>
      <name val="Times New Roman"/>
      <charset val="1"/>
    </font>
    <font>
      <b/>
      <sz val="12"/>
      <name val="Times New Roman"/>
      <charset val="1"/>
    </font>
    <font>
      <b/>
      <sz val="12"/>
      <name val="Times New Roman"/>
      <charset val="1"/>
    </font>
    <font>
      <b/>
      <sz val="12"/>
      <color rgb="FF808080"/>
      <name val="Times New Roman"/>
      <charset val="1"/>
    </font>
    <font>
      <b/>
      <sz val="12"/>
      <name val="Times New Roman"/>
      <charset val="1"/>
    </font>
    <font>
      <b/>
      <sz val="12"/>
      <name val="Times New Roman"/>
      <charset val="1"/>
    </font>
    <font>
      <b/>
      <sz val="11"/>
      <name val="Times New Roman"/>
      <charset val="1"/>
    </font>
    <font>
      <b/>
      <sz val="11"/>
      <name val="Times New Roman"/>
      <charset val="1"/>
    </font>
    <font>
      <b/>
      <sz val="11"/>
      <name val="Times New Roman"/>
      <charset val="1"/>
    </font>
    <font>
      <b/>
      <sz val="11"/>
      <name val="Times New Roman"/>
      <charset val="1"/>
    </font>
    <font>
      <b/>
      <sz val="11"/>
      <name val="Times New Roman"/>
      <charset val="1"/>
    </font>
    <font>
      <b/>
      <sz val="11"/>
      <color rgb="FF808080"/>
      <name val="Times New Roman"/>
      <charset val="1"/>
    </font>
    <font>
      <b/>
      <sz val="11"/>
      <name val="Times New Roman"/>
      <charset val="1"/>
    </font>
    <font>
      <b/>
      <sz val="11"/>
      <name val="Times New Roman"/>
      <charset val="1"/>
    </font>
    <font>
      <b/>
      <sz val="11"/>
      <name val="Times New Roman"/>
      <charset val="1"/>
    </font>
    <font>
      <b/>
      <sz val="11"/>
      <name val="Times New Roman"/>
      <charset val="1"/>
    </font>
    <font>
      <b/>
      <sz val="11"/>
      <name val="Times New Roman"/>
      <charset val="1"/>
    </font>
    <font>
      <b/>
      <sz val="11"/>
      <name val="Times New Roman"/>
      <charset val="1"/>
    </font>
    <font>
      <b/>
      <sz val="11"/>
      <color rgb="FF808080"/>
      <name val="Times New Roman"/>
      <charset val="1"/>
    </font>
    <font>
      <b/>
      <sz val="11"/>
      <name val="Times New Roman"/>
      <charset val="1"/>
    </font>
    <font>
      <b/>
      <sz val="11"/>
      <name val="Times New Roman"/>
      <charset val="1"/>
    </font>
    <font>
      <sz val="11"/>
      <name val="Times New Roman"/>
      <charset val="1"/>
    </font>
    <font>
      <b/>
      <sz val="10"/>
      <color rgb="FF00008B"/>
      <name val="Times New Roman"/>
      <charset val="1"/>
    </font>
    <font>
      <sz val="11"/>
      <name val="Times New Roman"/>
      <charset val="1"/>
    </font>
    <font>
      <b/>
      <sz val="10"/>
      <color rgb="FF00008B"/>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color rgb="FF808080"/>
      <name val="Times New Roman"/>
      <charset val="1"/>
    </font>
    <font>
      <sz val="11"/>
      <name val="Times New Roman"/>
      <charset val="1"/>
    </font>
    <font>
      <sz val="11"/>
      <color rgb="FF0000FF"/>
      <name val="Times New Roman"/>
      <charset val="1"/>
    </font>
    <font>
      <sz val="11"/>
      <name val="Times New Roman"/>
      <charset val="1"/>
    </font>
    <font>
      <b/>
      <sz val="10"/>
      <color rgb="FF00008B"/>
      <name val="Times New Roman"/>
      <charset val="1"/>
    </font>
    <font>
      <sz val="11"/>
      <name val="Times New Roman"/>
      <charset val="1"/>
    </font>
    <font>
      <b/>
      <sz val="10"/>
      <color rgb="FF00008B"/>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8.25"/>
      <name val="Microsoft Sans Serif"/>
    </font>
    <font>
      <b/>
      <sz val="11"/>
      <name val="Times New Roman"/>
      <charset val="1"/>
    </font>
    <font>
      <b/>
      <sz val="10"/>
      <color rgb="FF0000CD"/>
      <name val="Times New Roman"/>
      <charset val="1"/>
    </font>
    <font>
      <b/>
      <sz val="10"/>
      <color rgb="FF0000CD"/>
      <name val="Times New Roman"/>
      <charset val="1"/>
    </font>
    <font>
      <b/>
      <sz val="10"/>
      <color rgb="FF0000CD"/>
      <name val="Times New Roman"/>
      <charset val="1"/>
    </font>
    <font>
      <b/>
      <sz val="10"/>
      <color rgb="FF0000CD"/>
      <name val="Times New Roman"/>
      <charset val="1"/>
    </font>
    <font>
      <sz val="11"/>
      <name val="Times New Roman"/>
      <charset val="1"/>
    </font>
    <font>
      <sz val="11"/>
      <name val="Times New Roman"/>
      <charset val="1"/>
    </font>
    <font>
      <sz val="11"/>
      <color rgb="FF0000FF"/>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color rgb="FF0000FF"/>
      <name val="Times New Roman"/>
      <charset val="1"/>
    </font>
    <font>
      <sz val="11"/>
      <name val="Times New Roman"/>
      <charset val="1"/>
    </font>
    <font>
      <sz val="11"/>
      <name val="Times New Roman"/>
      <charset val="1"/>
    </font>
    <font>
      <b/>
      <sz val="12"/>
      <color rgb="FFFF6600"/>
      <name val="Times New Roman"/>
      <charset val="1"/>
    </font>
    <font>
      <sz val="11"/>
      <name val="Times New Roman"/>
      <charset val="1"/>
    </font>
    <font>
      <sz val="11"/>
      <color rgb="FF0000FF"/>
      <name val="Times New Roman"/>
      <charset val="1"/>
    </font>
    <font>
      <sz val="11"/>
      <name val="Times New Roman"/>
      <charset val="1"/>
    </font>
    <font>
      <sz val="11"/>
      <color rgb="FF0000FF"/>
      <name val="Times New Roman"/>
      <charset val="1"/>
    </font>
    <font>
      <sz val="11"/>
      <color rgb="FF0000FF"/>
      <name val="Times New Roman"/>
      <charset val="1"/>
    </font>
    <font>
      <sz val="11"/>
      <color rgb="FF0000FF"/>
      <name val="Times New Roman"/>
      <charset val="1"/>
    </font>
    <font>
      <sz val="11"/>
      <name val="Times New Roman"/>
      <charset val="1"/>
    </font>
    <font>
      <sz val="11"/>
      <color rgb="FF0000FF"/>
      <name val="Times New Roman"/>
      <charset val="1"/>
    </font>
    <font>
      <sz val="11"/>
      <name val="Times New Roman"/>
      <charset val="1"/>
    </font>
    <font>
      <sz val="11"/>
      <name val="Times New Roman"/>
      <charset val="1"/>
    </font>
    <font>
      <sz val="11"/>
      <color rgb="FF0000FF"/>
      <name val="Times New Roman"/>
      <charset val="1"/>
    </font>
    <font>
      <sz val="11"/>
      <color rgb="FF0000FF"/>
      <name val="Times New Roman"/>
      <charset val="1"/>
    </font>
    <font>
      <sz val="11"/>
      <name val="Times New Roman"/>
      <charset val="1"/>
    </font>
    <font>
      <sz val="11"/>
      <color rgb="FF0000FF"/>
      <name val="Times New Roman"/>
      <charset val="1"/>
    </font>
    <font>
      <b/>
      <i/>
      <sz val="11"/>
      <name val="Times New Roman"/>
      <charset val="1"/>
    </font>
    <font>
      <sz val="11"/>
      <name val="Times New Roman"/>
      <charset val="1"/>
    </font>
    <font>
      <b/>
      <sz val="11"/>
      <name val="Times New Roman"/>
      <charset val="1"/>
    </font>
    <font>
      <b/>
      <sz val="11"/>
      <name val="Times New Roman"/>
      <charset val="1"/>
    </font>
    <font>
      <b/>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b/>
      <sz val="11"/>
      <name val="Times New Roman"/>
      <charset val="1"/>
    </font>
    <font>
      <b/>
      <sz val="11"/>
      <name val="Times New Roman"/>
      <charset val="1"/>
    </font>
    <font>
      <b/>
      <sz val="11"/>
      <name val="Times New Roman"/>
      <charset val="1"/>
    </font>
    <font>
      <b/>
      <sz val="11"/>
      <color rgb="FF0000FF"/>
      <name val="Times New Roman"/>
      <charset val="1"/>
    </font>
    <font>
      <b/>
      <sz val="11"/>
      <name val="Times New Roman"/>
      <charset val="1"/>
    </font>
    <font>
      <b/>
      <sz val="11"/>
      <name val="Times New Roman"/>
      <charset val="1"/>
    </font>
    <font>
      <b/>
      <sz val="11"/>
      <name val="Times New Roman"/>
      <charset val="1"/>
    </font>
    <font>
      <i/>
      <sz val="11"/>
      <color rgb="FF0000CD"/>
      <name val="Times New Roman"/>
      <charset val="1"/>
    </font>
    <font>
      <i/>
      <sz val="11"/>
      <color rgb="FF0000CD"/>
      <name val="Times New Roman"/>
      <charset val="1"/>
    </font>
    <font>
      <i/>
      <sz val="11"/>
      <color rgb="FF0000CD"/>
      <name val="Times New Roman"/>
      <charset val="1"/>
    </font>
    <font>
      <i/>
      <sz val="11"/>
      <color rgb="FF0000CD"/>
      <name val="Times New Roman"/>
      <charset val="1"/>
    </font>
    <font>
      <i/>
      <sz val="11"/>
      <color rgb="FF0000CD"/>
      <name val="Times New Roman"/>
      <charset val="1"/>
    </font>
    <font>
      <i/>
      <sz val="11"/>
      <color rgb="FF0000CD"/>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b/>
      <sz val="11"/>
      <name val="Times New Roman"/>
      <charset val="1"/>
    </font>
    <font>
      <b/>
      <sz val="11"/>
      <name val="Times New Roman"/>
      <charset val="1"/>
    </font>
    <font>
      <sz val="11"/>
      <name val="Times New Roman"/>
      <charset val="1"/>
    </font>
    <font>
      <b/>
      <i/>
      <sz val="11"/>
      <color rgb="FF0000CD"/>
      <name val="Times New Roman"/>
      <charset val="1"/>
    </font>
    <font>
      <sz val="11"/>
      <name val="Times New Roman"/>
      <charset val="1"/>
    </font>
    <font>
      <sz val="11"/>
      <name val="Times New Roman"/>
      <charset val="1"/>
    </font>
    <font>
      <sz val="11"/>
      <name val="Times New Roman"/>
      <charset val="1"/>
    </font>
    <font>
      <b/>
      <sz val="10"/>
      <color rgb="FF0000CD"/>
      <name val="Times New Roman"/>
      <charset val="1"/>
    </font>
    <font>
      <b/>
      <sz val="10"/>
      <color rgb="FF0000CD"/>
      <name val="Times New Roman"/>
      <charset val="1"/>
    </font>
    <font>
      <b/>
      <sz val="10"/>
      <color rgb="FF0000CD"/>
      <name val="Times New Roman"/>
      <charset val="1"/>
    </font>
    <font>
      <sz val="11"/>
      <name val="Times New Roman"/>
      <charset val="1"/>
    </font>
    <font>
      <b/>
      <sz val="10"/>
      <color rgb="FF0000CD"/>
      <name val="Times New Roman"/>
      <charset val="1"/>
    </font>
    <font>
      <b/>
      <sz val="10"/>
      <color rgb="FF0000CD"/>
      <name val="Times New Roman"/>
      <charset val="1"/>
    </font>
    <font>
      <b/>
      <sz val="10"/>
      <color rgb="FF0000CD"/>
      <name val="Times New Roman"/>
      <charset val="1"/>
    </font>
    <font>
      <b/>
      <sz val="10"/>
      <color rgb="FF0000CD"/>
      <name val="Times New Roman"/>
      <charset val="1"/>
    </font>
    <font>
      <b/>
      <sz val="10"/>
      <color rgb="FF0000CD"/>
      <name val="Times New Roman"/>
      <charset val="1"/>
    </font>
    <font>
      <b/>
      <sz val="11"/>
      <name val="Times New Roman"/>
      <charset val="1"/>
    </font>
    <font>
      <b/>
      <i/>
      <sz val="11"/>
      <name val="Times New Roman"/>
      <charset val="1"/>
    </font>
    <font>
      <b/>
      <i/>
      <sz val="11"/>
      <color rgb="FF0000CD"/>
      <name val="Times New Roman"/>
      <charset val="1"/>
    </font>
    <font>
      <b/>
      <i/>
      <sz val="11"/>
      <color rgb="FF0000CD"/>
      <name val="Times New Roman"/>
      <charset val="1"/>
    </font>
    <font>
      <sz val="11"/>
      <name val="Times New Roman"/>
      <charset val="1"/>
    </font>
    <font>
      <sz val="11"/>
      <name val="Times New Roman"/>
      <charset val="1"/>
    </font>
    <font>
      <b/>
      <sz val="10"/>
      <color rgb="FF0000CD"/>
      <name val="Times New Roman"/>
      <charset val="1"/>
    </font>
    <font>
      <b/>
      <sz val="10"/>
      <color rgb="FF0000CD"/>
      <name val="Times New Roman"/>
      <charset val="1"/>
    </font>
    <font>
      <b/>
      <sz val="12"/>
      <name val="Times New Roman"/>
      <charset val="1"/>
    </font>
    <font>
      <i/>
      <sz val="11"/>
      <name val="Times New Roman"/>
      <charset val="1"/>
    </font>
    <font>
      <i/>
      <sz val="11"/>
      <name val="Times New Roman"/>
      <charset val="1"/>
    </font>
    <font>
      <i/>
      <sz val="11"/>
      <name val="Times New Roman"/>
      <charset val="1"/>
    </font>
    <font>
      <i/>
      <sz val="11"/>
      <name val="Times New Roman"/>
      <charset val="1"/>
    </font>
    <font>
      <b/>
      <sz val="11"/>
      <name val="Times New Roman"/>
      <charset val="1"/>
    </font>
    <font>
      <b/>
      <sz val="11"/>
      <name val="Times New Roman"/>
      <charset val="1"/>
    </font>
    <font>
      <sz val="11"/>
      <name val="Times New Roman"/>
      <charset val="1"/>
    </font>
    <font>
      <sz val="11"/>
      <name val="Times New Roman"/>
      <charset val="1"/>
    </font>
    <font>
      <sz val="11"/>
      <name val="Times New Roman"/>
      <charset val="1"/>
    </font>
    <font>
      <b/>
      <sz val="11"/>
      <name val="Times New Roman"/>
      <charset val="1"/>
    </font>
    <font>
      <b/>
      <sz val="11"/>
      <name val="Times New Roman"/>
      <charset val="1"/>
    </font>
    <font>
      <b/>
      <sz val="11"/>
      <color rgb="FF0000CD"/>
      <name val="Times New Roman"/>
      <charset val="1"/>
    </font>
    <font>
      <b/>
      <sz val="11"/>
      <color rgb="FF0000CD"/>
      <name val="Times New Roman"/>
      <charset val="1"/>
    </font>
    <font>
      <b/>
      <sz val="11"/>
      <color rgb="FF0000CD"/>
      <name val="Times New Roman"/>
      <charset val="1"/>
    </font>
    <font>
      <sz val="11"/>
      <color rgb="FF0000CD"/>
      <name val="Times New Roman"/>
      <charset val="1"/>
    </font>
    <font>
      <b/>
      <sz val="11"/>
      <color rgb="FF0000CD"/>
      <name val="Times New Roman"/>
      <charset val="1"/>
    </font>
    <font>
      <b/>
      <i/>
      <sz val="11"/>
      <name val="Times New Roman"/>
      <charset val="1"/>
    </font>
    <font>
      <sz val="8.25"/>
      <name val="Microsoft Sans Serif"/>
    </font>
    <font>
      <sz val="11"/>
      <name val="Times New Roman"/>
      <charset val="1"/>
    </font>
    <font>
      <sz val="8.25"/>
      <name val="Microsoft Sans Serif"/>
    </font>
    <font>
      <sz val="8.25"/>
      <name val="Microsoft Sans Serif"/>
    </font>
    <font>
      <sz val="8.25"/>
      <name val="Microsoft Sans Serif"/>
    </font>
    <font>
      <sz val="11"/>
      <name val="Times New Roman"/>
      <charset val="1"/>
    </font>
    <font>
      <b/>
      <sz val="15"/>
      <name val="Times New Roman"/>
      <charset val="1"/>
    </font>
    <font>
      <b/>
      <sz val="11"/>
      <color rgb="FF000000"/>
      <name val="Times New Roman"/>
      <charset val="1"/>
    </font>
    <font>
      <b/>
      <sz val="11"/>
      <color rgb="FF000000"/>
      <name val="Times New Roman"/>
      <charset val="1"/>
    </font>
    <font>
      <sz val="11"/>
      <color rgb="FF000000"/>
      <name val="Times New Roman"/>
      <charset val="1"/>
    </font>
    <font>
      <sz val="11"/>
      <color rgb="FF000000"/>
      <name val="Times New Roman"/>
      <charset val="1"/>
    </font>
    <font>
      <sz val="11"/>
      <color rgb="FF000000"/>
      <name val="Times New Roman"/>
      <charset val="1"/>
    </font>
    <font>
      <sz val="11"/>
      <color rgb="FF000000"/>
      <name val="Times New Roman"/>
      <charset val="1"/>
    </font>
    <font>
      <sz val="11"/>
      <color rgb="FF000000"/>
      <name val="Times New Roman"/>
      <charset val="1"/>
    </font>
    <font>
      <sz val="11"/>
      <color rgb="FF000000"/>
      <name val="Times New Roman"/>
      <charset val="1"/>
    </font>
    <font>
      <sz val="11"/>
      <color rgb="FF000000"/>
      <name val="Times New Roman"/>
      <charset val="1"/>
    </font>
    <font>
      <b/>
      <sz val="10"/>
      <color rgb="FF0000CD"/>
      <name val="Times New Roman"/>
      <charset val="1"/>
    </font>
    <font>
      <b/>
      <sz val="10"/>
      <color rgb="FF0000CD"/>
      <name val="Times New Roman"/>
      <charset val="1"/>
    </font>
    <font>
      <b/>
      <sz val="10"/>
      <color rgb="FF0000CD"/>
      <name val="Times New Roman"/>
      <charset val="1"/>
    </font>
    <font>
      <b/>
      <sz val="10"/>
      <color rgb="FF0000CD"/>
      <name val="Times New Roman"/>
      <charset val="1"/>
    </font>
    <font>
      <b/>
      <sz val="10"/>
      <color rgb="FF0000CD"/>
      <name val="Times New Roman"/>
      <charset val="1"/>
    </font>
    <font>
      <b/>
      <sz val="10"/>
      <color rgb="FF0000CD"/>
      <name val="Times New Roman"/>
      <charset val="1"/>
    </font>
    <font>
      <b/>
      <i/>
      <sz val="11"/>
      <name val="Times New Roman"/>
      <charset val="1"/>
    </font>
    <font>
      <sz val="11"/>
      <name val="Times New Roman"/>
      <charset val="1"/>
    </font>
    <font>
      <sz val="11"/>
      <name val="Times New Roman"/>
      <charset val="1"/>
    </font>
    <font>
      <sz val="11"/>
      <name val="Times New Roman"/>
      <charset val="1"/>
    </font>
    <font>
      <sz val="11"/>
      <name val="Times New Roman"/>
      <charset val="1"/>
    </font>
    <font>
      <sz val="11"/>
      <color rgb="FF000000"/>
      <name val="Times New Roman"/>
      <charset val="1"/>
    </font>
    <font>
      <b/>
      <sz val="11"/>
      <name val="Times New Roman"/>
      <charset val="1"/>
    </font>
    <font>
      <b/>
      <sz val="11"/>
      <name val="Times New Roman"/>
      <charset val="1"/>
    </font>
    <font>
      <sz val="11"/>
      <name val="Times New Roman"/>
      <charset val="1"/>
    </font>
    <font>
      <b/>
      <sz val="11"/>
      <color rgb="FF0000CD"/>
      <name val="Times New Roman"/>
      <charset val="1"/>
    </font>
    <font>
      <sz val="11"/>
      <name val="Times New Roman"/>
      <charset val="1"/>
    </font>
    <font>
      <sz val="11"/>
      <name val="Times New Roman"/>
      <charset val="1"/>
    </font>
    <font>
      <b/>
      <sz val="11"/>
      <name val="Times New Roman"/>
      <charset val="1"/>
    </font>
    <font>
      <b/>
      <sz val="11"/>
      <name val="Times New Roman"/>
      <charset val="1"/>
    </font>
    <font>
      <b/>
      <sz val="11"/>
      <name val="Times New Roman"/>
      <charset val="1"/>
    </font>
    <font>
      <b/>
      <sz val="11"/>
      <name val="Times New Roman"/>
      <charset val="1"/>
    </font>
    <font>
      <b/>
      <sz val="11"/>
      <color rgb="FF0000CD"/>
      <name val="Times New Roman"/>
      <charset val="1"/>
    </font>
    <font>
      <b/>
      <sz val="11"/>
      <color rgb="FF0000CD"/>
      <name val="Times New Roman"/>
      <charset val="1"/>
    </font>
    <font>
      <b/>
      <sz val="11"/>
      <color rgb="FF0000CD"/>
      <name val="Times New Roman"/>
      <charset val="1"/>
    </font>
    <font>
      <i/>
      <sz val="12"/>
      <name val="Times New Roman"/>
      <charset val="1"/>
    </font>
    <font>
      <sz val="8.25"/>
      <name val="Microsoft Sans Serif"/>
    </font>
    <font>
      <sz val="8.25"/>
      <name val="Microsoft Sans Serif"/>
    </font>
    <font>
      <b/>
      <sz val="11"/>
      <color rgb="FFD3D3D3"/>
      <name val="Times New Roman"/>
      <charset val="1"/>
    </font>
    <font>
      <sz val="8.25"/>
      <color rgb="FFD3D3D3"/>
      <name val="Microsoft Sans Serif"/>
    </font>
    <font>
      <b/>
      <sz val="12"/>
      <name val="Times New Roman"/>
      <charset val="1"/>
    </font>
    <font>
      <b/>
      <sz val="12"/>
      <name val="Times New Roman"/>
      <charset val="1"/>
    </font>
    <font>
      <b/>
      <sz val="12"/>
      <color rgb="FFD3D3D3"/>
      <name val="Times New Roman"/>
      <charset val="1"/>
    </font>
    <font>
      <b/>
      <sz val="12"/>
      <name val="Times New Roman"/>
      <charset val="1"/>
    </font>
    <font>
      <b/>
      <sz val="12"/>
      <name val="Times New Roman"/>
      <charset val="1"/>
    </font>
    <font>
      <b/>
      <sz val="12"/>
      <name val="Times New Roman"/>
      <charset val="1"/>
    </font>
    <font>
      <b/>
      <sz val="12"/>
      <name val="Times New Roman"/>
      <charset val="1"/>
    </font>
    <font>
      <sz val="8.25"/>
      <color rgb="FFD3D3D3"/>
      <name val="Microsoft Sans Serif"/>
    </font>
    <font>
      <b/>
      <sz val="12"/>
      <name val="Times New Roman"/>
      <charset val="1"/>
    </font>
    <font>
      <i/>
      <sz val="12"/>
      <name val="Times New Roman"/>
      <charset val="1"/>
    </font>
    <font>
      <i/>
      <sz val="12"/>
      <name val="Times New Roman"/>
      <charset val="1"/>
    </font>
    <font>
      <i/>
      <sz val="12"/>
      <color rgb="FFD3D3D3"/>
      <name val="Times New Roman"/>
      <charset val="1"/>
    </font>
    <font>
      <i/>
      <sz val="12"/>
      <name val="Times New Roman"/>
      <charset val="1"/>
    </font>
    <font>
      <i/>
      <sz val="12"/>
      <name val="Times New Roman"/>
      <charset val="1"/>
    </font>
    <font>
      <i/>
      <sz val="12"/>
      <name val="Times New Roman"/>
      <charset val="1"/>
    </font>
    <font>
      <i/>
      <sz val="12"/>
      <name val="Times New Roman"/>
      <charset val="1"/>
    </font>
    <font>
      <sz val="8.25"/>
      <color rgb="FFD3D3D3"/>
      <name val="Microsoft Sans Serif"/>
    </font>
    <font>
      <sz val="8.25"/>
      <name val="Microsoft Sans Serif"/>
    </font>
    <font>
      <sz val="10"/>
      <name val="Times New Roman"/>
      <charset val="1"/>
    </font>
    <font>
      <sz val="10"/>
      <name val="Times New Roman"/>
      <charset val="1"/>
    </font>
    <font>
      <sz val="8.25"/>
      <color rgb="FFD3D3D3"/>
      <name val="Microsoft Sans Serif"/>
    </font>
    <font>
      <sz val="8.25"/>
      <name val="Microsoft Sans Serif"/>
    </font>
    <font>
      <sz val="8.25"/>
      <name val="Microsoft Sans Serif"/>
    </font>
    <font>
      <sz val="8.25"/>
      <name val="Microsoft Sans Serif"/>
    </font>
    <font>
      <sz val="10"/>
      <name val="Times New Roman"/>
      <charset val="1"/>
    </font>
    <font>
      <sz val="8.25"/>
      <name val="Microsoft Sans Serif"/>
    </font>
    <font>
      <sz val="8.25"/>
      <color rgb="FFD3D3D3"/>
      <name val="Microsoft Sans Serif"/>
    </font>
    <font>
      <b/>
      <sz val="12"/>
      <color rgb="FF0000CD"/>
      <name val="Times New Roman"/>
      <charset val="1"/>
    </font>
    <font>
      <b/>
      <sz val="12"/>
      <color rgb="FF0000CD"/>
      <name val="Times New Roman"/>
      <charset val="1"/>
    </font>
    <font>
      <b/>
      <sz val="12"/>
      <color rgb="FF0000CD"/>
      <name val="Times New Roman"/>
      <charset val="1"/>
    </font>
    <font>
      <b/>
      <sz val="12"/>
      <color rgb="FF0000CD"/>
      <name val="Times New Roman"/>
      <charset val="1"/>
    </font>
    <font>
      <b/>
      <sz val="12"/>
      <color rgb="FF0000CD"/>
      <name val="Times New Roman"/>
      <charset val="1"/>
    </font>
    <font>
      <b/>
      <sz val="12"/>
      <color rgb="FF0000CD"/>
      <name val="Times New Roman"/>
      <charset val="1"/>
    </font>
    <font>
      <b/>
      <sz val="12"/>
      <color rgb="FF0000CD"/>
      <name val="Times New Roman"/>
      <charset val="1"/>
    </font>
    <font>
      <sz val="8.25"/>
      <color rgb="FFD3D3D3"/>
      <name val="Microsoft Sans Serif"/>
    </font>
    <font>
      <sz val="8.25"/>
      <name val="Microsoft Sans Serif"/>
    </font>
    <font>
      <sz val="8.25"/>
      <color rgb="FFD3D3D3"/>
      <name val="Microsoft Sans Serif"/>
    </font>
    <font>
      <sz val="8.25"/>
      <color rgb="FFD3D3D3"/>
      <name val="Microsoft Sans Serif"/>
    </font>
    <font>
      <sz val="8.25"/>
      <name val="Microsoft Sans Serif"/>
    </font>
    <font>
      <b/>
      <sz val="11"/>
      <name val="Times New Roman"/>
      <charset val="1"/>
    </font>
    <font>
      <b/>
      <i/>
      <sz val="11"/>
      <name val="Times New Roman"/>
      <charset val="1"/>
    </font>
    <font>
      <b/>
      <sz val="11"/>
      <name val="Times New Roman"/>
      <charset val="1"/>
    </font>
    <font>
      <b/>
      <sz val="11"/>
      <name val="Times New Roman"/>
      <charset val="1"/>
    </font>
    <font>
      <b/>
      <sz val="11"/>
      <name val="Times New Roman"/>
      <charset val="1"/>
    </font>
    <font>
      <sz val="11"/>
      <name val="Times New Roman"/>
      <charset val="1"/>
    </font>
    <font>
      <b/>
      <sz val="11"/>
      <color rgb="FF0000CD"/>
      <name val="Times New Roman"/>
      <charset val="1"/>
    </font>
    <font>
      <b/>
      <sz val="11"/>
      <color rgb="FF0000CD"/>
      <name val="Times New Roman"/>
      <charset val="1"/>
    </font>
    <font>
      <b/>
      <sz val="11"/>
      <color rgb="FF0000CD"/>
      <name val="Times New Roman"/>
      <charset val="1"/>
    </font>
    <font>
      <b/>
      <sz val="11"/>
      <color rgb="FF0000CD"/>
      <name val="Times New Roman"/>
      <charset val="1"/>
    </font>
    <font>
      <b/>
      <sz val="11"/>
      <color rgb="FF0000CD"/>
      <name val="Times New Roman"/>
      <charset val="1"/>
    </font>
    <font>
      <b/>
      <u/>
      <sz val="11"/>
      <color rgb="FF0000CD"/>
      <name val="Times New Roman"/>
      <charset val="1"/>
    </font>
    <font>
      <sz val="11"/>
      <color rgb="FFD3D3D3"/>
      <name val="Times New Roman"/>
      <charset val="1"/>
    </font>
    <font>
      <b/>
      <sz val="11"/>
      <color rgb="FF0000CD"/>
      <name val="Times New Roman"/>
      <charset val="1"/>
    </font>
    <font>
      <sz val="10"/>
      <name val="Arial"/>
    </font>
    <font>
      <b/>
      <sz val="9"/>
      <name val="Times New Roman"/>
    </font>
    <font>
      <b/>
      <sz val="9"/>
      <name val="Times New Roman"/>
    </font>
    <font>
      <b/>
      <sz val="11"/>
      <name val="Times New Roman"/>
    </font>
    <font>
      <sz val="10"/>
      <name val="Arial"/>
    </font>
    <font>
      <sz val="10"/>
      <name val="Arial"/>
    </font>
    <font>
      <sz val="10"/>
      <name val="Arial"/>
    </font>
    <font>
      <b/>
      <sz val="9"/>
      <name val="Times New Roman"/>
    </font>
    <font>
      <b/>
      <sz val="11"/>
      <name val="Times New Roman"/>
    </font>
    <font>
      <sz val="10"/>
      <name val="Arial"/>
    </font>
    <font>
      <sz val="10"/>
      <name val="Arial"/>
    </font>
    <font>
      <sz val="10"/>
      <name val="Times New Roman"/>
    </font>
    <font>
      <b/>
      <sz val="18"/>
      <name val="Times New Roman"/>
    </font>
    <font>
      <b/>
      <sz val="9"/>
      <name val="Times New Roman"/>
    </font>
    <font>
      <sz val="11"/>
      <name val="Times New Roman"/>
    </font>
    <font>
      <sz val="11"/>
      <name val="Times New Roman"/>
    </font>
    <font>
      <b/>
      <sz val="10"/>
      <name val="Arial"/>
    </font>
    <font>
      <sz val="10"/>
      <name val="Arial"/>
    </font>
    <font>
      <sz val="10"/>
      <name val="Arial"/>
    </font>
    <font>
      <sz val="10"/>
      <name val="Arial"/>
    </font>
    <font>
      <b/>
      <sz val="16"/>
      <name val="Times New Roman"/>
    </font>
    <font>
      <sz val="10"/>
      <name val="Arial"/>
    </font>
    <font>
      <b/>
      <sz val="9"/>
      <name val="Times New Roman"/>
    </font>
    <font>
      <sz val="8.25"/>
      <name val="Microsoft Sans Serif"/>
    </font>
    <font>
      <b/>
      <sz val="10"/>
      <name val="Times New Roman"/>
    </font>
    <font>
      <i/>
      <sz val="10"/>
      <name val="Arial"/>
    </font>
    <font>
      <i/>
      <sz val="10"/>
      <name val="Arial"/>
    </font>
    <font>
      <b/>
      <sz val="10"/>
      <name val="Times New Roman"/>
    </font>
    <font>
      <b/>
      <sz val="14"/>
      <name val="Times New Roman"/>
    </font>
    <font>
      <b/>
      <sz val="14"/>
      <name val="Times New Roman"/>
    </font>
    <font>
      <b/>
      <i/>
      <sz val="12"/>
      <name val="Times New Roman"/>
    </font>
    <font>
      <b/>
      <i/>
      <sz val="12"/>
      <name val="Times New Roman"/>
    </font>
    <font>
      <b/>
      <i/>
      <sz val="12"/>
      <name val="Times New Roman"/>
    </font>
    <font>
      <b/>
      <sz val="11"/>
      <name val="Times New Roman"/>
      <charset val="1"/>
    </font>
    <font>
      <sz val="8.25"/>
      <name val="Microsoft Sans Serif"/>
    </font>
    <font>
      <sz val="8.25"/>
      <name val="Microsoft Sans Serif"/>
    </font>
    <font>
      <sz val="8.25"/>
      <name val="Microsoft Sans Serif"/>
    </font>
    <font>
      <sz val="8.25"/>
      <color rgb="FF0000FF"/>
      <name val="Microsoft Sans Serif"/>
    </font>
    <font>
      <sz val="11"/>
      <name val="Times New Roman"/>
      <charset val="1"/>
    </font>
    <font>
      <sz val="11"/>
      <name val="Times New Roman"/>
      <charset val="1"/>
    </font>
    <font>
      <sz val="8.25"/>
      <name val="Microsoft Sans Serif"/>
    </font>
    <font>
      <sz val="11.25"/>
      <name val="Arial Narrow"/>
    </font>
    <font>
      <sz val="8.25"/>
      <name val="Microsoft Sans Serif"/>
    </font>
    <font>
      <sz val="8.25"/>
      <name val="Microsoft Sans Serif"/>
    </font>
    <font>
      <sz val="8.25"/>
      <name val="Microsoft Sans Serif"/>
    </font>
    <font>
      <sz val="8.25"/>
      <name val="Microsoft Sans Serif"/>
    </font>
    <font>
      <sz val="8.25"/>
      <name val="Microsoft Sans Serif"/>
    </font>
    <font>
      <sz val="8.25"/>
      <name val="Microsoft Sans Serif"/>
    </font>
  </fonts>
  <fills count="5">
    <fill>
      <patternFill patternType="none"/>
    </fill>
    <fill>
      <patternFill patternType="gray125"/>
    </fill>
    <fill>
      <patternFill patternType="solid">
        <fgColor rgb="FFF5F5F5"/>
        <bgColor rgb="FF000000"/>
      </patternFill>
    </fill>
    <fill>
      <patternFill patternType="solid">
        <fgColor rgb="FFF5FFFA"/>
        <bgColor rgb="FF000000"/>
      </patternFill>
    </fill>
    <fill>
      <patternFill patternType="solid">
        <fgColor rgb="FFFFFF00"/>
        <bgColor indexed="64"/>
      </patternFill>
    </fill>
  </fills>
  <borders count="30">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hair">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diagonal/>
    </border>
    <border>
      <left style="double">
        <color rgb="FF000000"/>
      </left>
      <right/>
      <top style="double">
        <color rgb="FF000000"/>
      </top>
      <bottom/>
      <diagonal/>
    </border>
    <border>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diagonal/>
    </border>
    <border>
      <left/>
      <right/>
      <top/>
      <bottom/>
      <diagonal/>
    </border>
    <border>
      <left/>
      <right/>
      <top/>
      <bottom/>
      <diagonal/>
    </border>
    <border>
      <left/>
      <right style="double">
        <color rgb="FF000000"/>
      </right>
      <top/>
      <bottom/>
      <diagonal/>
    </border>
    <border>
      <left/>
      <right style="double">
        <color rgb="FF000000"/>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s>
  <cellStyleXfs count="1">
    <xf numFmtId="0" fontId="0" fillId="0" borderId="0">
      <alignment vertical="top"/>
      <protection locked="0"/>
    </xf>
  </cellStyleXfs>
  <cellXfs count="344">
    <xf numFmtId="0" fontId="1" fillId="0" borderId="0" xfId="0" applyFont="1">
      <alignment vertical="top"/>
      <protection locked="0"/>
    </xf>
    <xf numFmtId="0" fontId="2" fillId="0" borderId="0" xfId="0" applyFont="1" applyAlignment="1">
      <alignment vertical="center"/>
      <protection locked="0"/>
    </xf>
    <xf numFmtId="0" fontId="4" fillId="0" borderId="0" xfId="0" applyFont="1" applyAlignment="1">
      <alignment vertical="center" wrapText="1"/>
      <protection locked="0"/>
    </xf>
    <xf numFmtId="166" fontId="7" fillId="0" borderId="0" xfId="0" applyNumberFormat="1" applyFont="1" applyAlignment="1">
      <alignment vertical="center" wrapText="1"/>
      <protection locked="0"/>
    </xf>
    <xf numFmtId="0" fontId="8" fillId="0" borderId="0" xfId="0" applyFont="1" applyAlignment="1" applyProtection="1">
      <alignment horizontal="center" vertical="center"/>
    </xf>
    <xf numFmtId="0" fontId="9" fillId="0" borderId="0" xfId="0" applyFont="1" applyAlignment="1">
      <alignment horizontal="center" vertical="center"/>
      <protection locked="0"/>
    </xf>
    <xf numFmtId="167" fontId="10" fillId="0" borderId="0" xfId="0" applyNumberFormat="1" applyFont="1" applyAlignment="1">
      <alignment horizontal="center" vertical="center"/>
      <protection locked="0"/>
    </xf>
    <xf numFmtId="0" fontId="11" fillId="0" borderId="0" xfId="0" applyFont="1" applyAlignment="1">
      <alignment horizontal="center" vertical="center"/>
      <protection locked="0"/>
    </xf>
    <xf numFmtId="0" fontId="13" fillId="0" borderId="0" xfId="0" applyFont="1" applyAlignment="1">
      <alignment vertical="center" wrapText="1"/>
      <protection locked="0"/>
    </xf>
    <xf numFmtId="166" fontId="16" fillId="0" borderId="0" xfId="0" applyNumberFormat="1" applyFont="1" applyAlignment="1">
      <alignment vertical="center" wrapText="1"/>
      <protection locked="0"/>
    </xf>
    <xf numFmtId="0" fontId="17" fillId="0" borderId="0" xfId="0" applyFont="1" applyAlignment="1" applyProtection="1">
      <alignment horizontal="center" vertical="center"/>
    </xf>
    <xf numFmtId="0" fontId="18" fillId="0" borderId="0" xfId="0" applyFont="1" applyAlignment="1">
      <alignment horizontal="center" vertical="center"/>
      <protection locked="0"/>
    </xf>
    <xf numFmtId="167" fontId="19" fillId="0" borderId="0" xfId="0" applyNumberFormat="1" applyFont="1" applyAlignment="1">
      <alignment horizontal="center" vertical="center"/>
      <protection locked="0"/>
    </xf>
    <xf numFmtId="0" fontId="20" fillId="0" borderId="0" xfId="0" applyFont="1" applyAlignment="1">
      <alignment horizontal="center" vertical="center" wrapText="1"/>
      <protection locked="0"/>
    </xf>
    <xf numFmtId="0" fontId="21" fillId="0" borderId="0" xfId="0" applyFont="1" applyAlignment="1">
      <alignment vertical="center" wrapText="1"/>
      <protection locked="0"/>
    </xf>
    <xf numFmtId="166" fontId="24" fillId="0" borderId="0" xfId="0" applyNumberFormat="1" applyFont="1" applyAlignment="1">
      <alignment vertical="center" wrapText="1"/>
      <protection locked="0"/>
    </xf>
    <xf numFmtId="0" fontId="25" fillId="0" borderId="0" xfId="0" applyFont="1" applyAlignment="1" applyProtection="1">
      <alignment horizontal="center" vertical="center"/>
    </xf>
    <xf numFmtId="0" fontId="26" fillId="0" borderId="0" xfId="0" applyFont="1" applyAlignment="1">
      <alignment horizontal="center" vertical="center"/>
      <protection locked="0"/>
    </xf>
    <xf numFmtId="167" fontId="27" fillId="0" borderId="0" xfId="0" applyNumberFormat="1" applyFont="1" applyAlignment="1">
      <alignment horizontal="center" vertical="center"/>
      <protection locked="0"/>
    </xf>
    <xf numFmtId="0" fontId="31" fillId="2" borderId="4" xfId="0" applyFont="1" applyFill="1" applyBorder="1" applyAlignment="1">
      <alignment horizontal="center" vertical="center" wrapText="1"/>
      <protection locked="0"/>
    </xf>
    <xf numFmtId="0" fontId="32" fillId="0" borderId="0" xfId="0" applyFont="1" applyAlignment="1" applyProtection="1">
      <alignment horizontal="center" vertical="center" wrapText="1"/>
    </xf>
    <xf numFmtId="0" fontId="33" fillId="2" borderId="5" xfId="0" applyFont="1" applyFill="1" applyBorder="1" applyAlignment="1">
      <alignment horizontal="center" vertical="center" wrapText="1"/>
      <protection locked="0"/>
    </xf>
    <xf numFmtId="0" fontId="34" fillId="2" borderId="6" xfId="0" applyFont="1" applyFill="1" applyBorder="1" applyAlignment="1">
      <alignment horizontal="center" vertical="center" wrapText="1"/>
      <protection locked="0"/>
    </xf>
    <xf numFmtId="3" fontId="35" fillId="0" borderId="7" xfId="0" applyNumberFormat="1" applyFont="1" applyBorder="1" applyAlignment="1">
      <alignment horizontal="center" vertical="center" wrapText="1"/>
      <protection locked="0"/>
    </xf>
    <xf numFmtId="0" fontId="36" fillId="0" borderId="8" xfId="0" applyFont="1" applyBorder="1" applyAlignment="1">
      <alignment horizontal="center" vertical="center" wrapText="1"/>
      <protection locked="0"/>
    </xf>
    <xf numFmtId="0" fontId="37" fillId="0" borderId="8" xfId="0" applyFont="1" applyBorder="1" applyAlignment="1">
      <alignment vertical="center" wrapText="1"/>
      <protection locked="0"/>
    </xf>
    <xf numFmtId="3" fontId="38" fillId="0" borderId="8" xfId="0" applyNumberFormat="1" applyFont="1" applyBorder="1" applyAlignment="1">
      <alignment horizontal="center" vertical="center" wrapText="1"/>
      <protection locked="0"/>
    </xf>
    <xf numFmtId="3" fontId="39" fillId="0" borderId="8" xfId="0" applyNumberFormat="1" applyFont="1" applyBorder="1" applyAlignment="1">
      <alignment horizontal="right" vertical="center" wrapText="1"/>
      <protection locked="0"/>
    </xf>
    <xf numFmtId="0" fontId="40" fillId="0" borderId="8" xfId="0" applyFont="1" applyBorder="1" applyAlignment="1">
      <alignment horizontal="center" vertical="center" wrapText="1"/>
      <protection locked="0"/>
    </xf>
    <xf numFmtId="0" fontId="41" fillId="0" borderId="8" xfId="0" applyFont="1" applyBorder="1" applyAlignment="1">
      <alignment horizontal="left" vertical="center" wrapText="1"/>
      <protection locked="0"/>
    </xf>
    <xf numFmtId="168" fontId="42" fillId="0" borderId="8" xfId="0" applyNumberFormat="1" applyFont="1" applyBorder="1" applyAlignment="1">
      <alignment horizontal="right" vertical="center" wrapText="1"/>
      <protection locked="0"/>
    </xf>
    <xf numFmtId="166" fontId="43" fillId="0" borderId="8" xfId="0" applyNumberFormat="1" applyFont="1" applyBorder="1" applyAlignment="1">
      <alignment horizontal="right" vertical="center" wrapText="1"/>
      <protection locked="0"/>
    </xf>
    <xf numFmtId="0" fontId="44" fillId="0" borderId="0" xfId="0" applyFont="1" applyAlignment="1" applyProtection="1">
      <alignment horizontal="center" vertical="center"/>
    </xf>
    <xf numFmtId="0" fontId="45" fillId="0" borderId="0" xfId="0" applyFont="1" applyAlignment="1">
      <alignment horizontal="center" vertical="center"/>
      <protection locked="0"/>
    </xf>
    <xf numFmtId="0" fontId="46" fillId="0" borderId="8" xfId="0" applyFont="1" applyBorder="1" applyAlignment="1">
      <alignment horizontal="left" vertical="center" wrapText="1"/>
      <protection locked="0"/>
    </xf>
    <xf numFmtId="3" fontId="47" fillId="0" borderId="9" xfId="0" applyNumberFormat="1" applyFont="1" applyBorder="1" applyAlignment="1">
      <alignment horizontal="center" vertical="center" wrapText="1"/>
      <protection locked="0"/>
    </xf>
    <xf numFmtId="0" fontId="48" fillId="0" borderId="10" xfId="0" applyFont="1" applyBorder="1" applyAlignment="1">
      <alignment horizontal="center" vertical="center" wrapText="1"/>
      <protection locked="0"/>
    </xf>
    <xf numFmtId="0" fontId="49" fillId="0" borderId="10" xfId="0" applyFont="1" applyBorder="1" applyAlignment="1">
      <alignment vertical="center" wrapText="1"/>
      <protection locked="0"/>
    </xf>
    <xf numFmtId="3" fontId="50" fillId="0" borderId="10" xfId="0" applyNumberFormat="1" applyFont="1" applyBorder="1" applyAlignment="1">
      <alignment horizontal="center" vertical="center" wrapText="1"/>
      <protection locked="0"/>
    </xf>
    <xf numFmtId="3" fontId="51" fillId="0" borderId="10" xfId="0" applyNumberFormat="1" applyFont="1" applyBorder="1" applyAlignment="1">
      <alignment horizontal="right" vertical="center" wrapText="1"/>
      <protection locked="0"/>
    </xf>
    <xf numFmtId="3" fontId="52" fillId="0" borderId="0" xfId="0" applyNumberFormat="1" applyFont="1" applyAlignment="1">
      <alignment horizontal="center" vertical="center" wrapText="1"/>
      <protection locked="0"/>
    </xf>
    <xf numFmtId="0" fontId="53" fillId="0" borderId="0" xfId="0" applyFont="1" applyAlignment="1">
      <alignment horizontal="center" vertical="center" wrapText="1"/>
      <protection locked="0"/>
    </xf>
    <xf numFmtId="0" fontId="54" fillId="0" borderId="0" xfId="0" applyFont="1" applyAlignment="1">
      <alignment horizontal="left" vertical="center" wrapText="1"/>
      <protection locked="0"/>
    </xf>
    <xf numFmtId="168" fontId="55" fillId="0" borderId="0" xfId="0" applyNumberFormat="1" applyFont="1" applyAlignment="1">
      <alignment horizontal="right" vertical="center" wrapText="1"/>
      <protection locked="0"/>
    </xf>
    <xf numFmtId="3" fontId="56" fillId="0" borderId="0" xfId="0" applyNumberFormat="1" applyFont="1" applyAlignment="1">
      <alignment horizontal="right" vertical="center" wrapText="1"/>
      <protection locked="0"/>
    </xf>
    <xf numFmtId="166" fontId="57" fillId="0" borderId="0" xfId="0" applyNumberFormat="1" applyFont="1" applyAlignment="1">
      <alignment horizontal="right" vertical="center" wrapText="1"/>
      <protection locked="0"/>
    </xf>
    <xf numFmtId="0" fontId="58" fillId="0" borderId="0" xfId="0" applyFont="1" applyAlignment="1">
      <alignment vertical="center" wrapText="1"/>
      <protection locked="0"/>
    </xf>
    <xf numFmtId="164" fontId="59" fillId="0" borderId="0" xfId="0" applyNumberFormat="1" applyFont="1" applyAlignment="1">
      <alignment vertical="center" wrapText="1"/>
      <protection locked="0"/>
    </xf>
    <xf numFmtId="165" fontId="60" fillId="0" borderId="0" xfId="0" applyNumberFormat="1" applyFont="1" applyAlignment="1">
      <alignment vertical="center" wrapText="1"/>
      <protection locked="0"/>
    </xf>
    <xf numFmtId="166" fontId="61" fillId="0" borderId="0" xfId="0" applyNumberFormat="1" applyFont="1" applyAlignment="1">
      <alignment vertical="center" wrapText="1"/>
      <protection locked="0"/>
    </xf>
    <xf numFmtId="167" fontId="62" fillId="0" borderId="0" xfId="0" applyNumberFormat="1" applyFont="1" applyAlignment="1">
      <alignment horizontal="center" vertical="center"/>
      <protection locked="0"/>
    </xf>
    <xf numFmtId="0" fontId="63" fillId="0" borderId="0" xfId="0" applyFont="1" applyAlignment="1">
      <alignment vertical="center" wrapText="1"/>
      <protection locked="0"/>
    </xf>
    <xf numFmtId="0" fontId="64" fillId="2" borderId="11" xfId="0" applyFont="1" applyFill="1" applyBorder="1" applyAlignment="1">
      <alignment horizontal="center" vertical="center" wrapText="1"/>
      <protection locked="0"/>
    </xf>
    <xf numFmtId="0" fontId="65" fillId="0" borderId="7" xfId="0" applyFont="1" applyBorder="1" applyAlignment="1">
      <alignment horizontal="center" vertical="center" wrapText="1"/>
      <protection locked="0"/>
    </xf>
    <xf numFmtId="0" fontId="66" fillId="0" borderId="8" xfId="0" applyFont="1" applyBorder="1" applyAlignment="1">
      <alignment horizontal="center" vertical="center" wrapText="1"/>
      <protection locked="0"/>
    </xf>
    <xf numFmtId="166" fontId="67" fillId="0" borderId="8" xfId="0" applyNumberFormat="1" applyFont="1" applyBorder="1" applyAlignment="1">
      <alignment horizontal="center" vertical="center" wrapText="1"/>
      <protection locked="0"/>
    </xf>
    <xf numFmtId="166" fontId="68" fillId="3" borderId="8" xfId="0" applyNumberFormat="1" applyFont="1" applyFill="1" applyBorder="1" applyAlignment="1">
      <alignment horizontal="center" vertical="center" wrapText="1"/>
      <protection locked="0"/>
    </xf>
    <xf numFmtId="0" fontId="69" fillId="0" borderId="7" xfId="0" applyFont="1" applyBorder="1" applyAlignment="1">
      <alignment horizontal="center" vertical="center" wrapText="1"/>
      <protection locked="0"/>
    </xf>
    <xf numFmtId="166" fontId="70" fillId="0" borderId="8" xfId="0" applyNumberFormat="1" applyFont="1" applyBorder="1" applyAlignment="1">
      <alignment vertical="center" wrapText="1"/>
      <protection locked="0"/>
    </xf>
    <xf numFmtId="166" fontId="71" fillId="3" borderId="8" xfId="0" applyNumberFormat="1" applyFont="1" applyFill="1" applyBorder="1" applyAlignment="1">
      <alignment vertical="center" wrapText="1"/>
      <protection locked="0"/>
    </xf>
    <xf numFmtId="0" fontId="72" fillId="0" borderId="8" xfId="0" applyFont="1" applyBorder="1" applyAlignment="1">
      <alignment horizontal="center" vertical="center"/>
      <protection locked="0"/>
    </xf>
    <xf numFmtId="0" fontId="73" fillId="0" borderId="9" xfId="0" applyFont="1" applyBorder="1" applyAlignment="1">
      <alignment horizontal="center" vertical="center" wrapText="1"/>
      <protection locked="0"/>
    </xf>
    <xf numFmtId="0" fontId="74" fillId="0" borderId="10" xfId="0" applyFont="1" applyBorder="1" applyAlignment="1">
      <alignment horizontal="center" vertical="center" wrapText="1"/>
      <protection locked="0"/>
    </xf>
    <xf numFmtId="166" fontId="75" fillId="0" borderId="10" xfId="0" applyNumberFormat="1" applyFont="1" applyBorder="1" applyAlignment="1">
      <alignment vertical="center" wrapText="1"/>
      <protection locked="0"/>
    </xf>
    <xf numFmtId="166" fontId="76" fillId="3" borderId="10" xfId="0" applyNumberFormat="1" applyFont="1" applyFill="1" applyBorder="1" applyAlignment="1">
      <alignment vertical="center" wrapText="1"/>
      <protection locked="0"/>
    </xf>
    <xf numFmtId="0" fontId="77" fillId="0" borderId="10" xfId="0" applyFont="1" applyBorder="1" applyAlignment="1">
      <alignment horizontal="center" vertical="center"/>
      <protection locked="0"/>
    </xf>
    <xf numFmtId="0" fontId="78" fillId="0" borderId="0" xfId="0" applyFont="1" applyAlignment="1">
      <alignment horizontal="center" wrapText="1"/>
      <protection locked="0"/>
    </xf>
    <xf numFmtId="3" fontId="81" fillId="0" borderId="8" xfId="0" applyNumberFormat="1" applyFont="1" applyBorder="1" applyAlignment="1">
      <alignment horizontal="center" vertical="center" wrapText="1"/>
      <protection locked="0"/>
    </xf>
    <xf numFmtId="168" fontId="83" fillId="0" borderId="10" xfId="0" applyNumberFormat="1" applyFont="1" applyBorder="1" applyAlignment="1">
      <alignment horizontal="center" vertical="center" wrapText="1"/>
      <protection locked="0"/>
    </xf>
    <xf numFmtId="10" fontId="84" fillId="0" borderId="8" xfId="0" applyNumberFormat="1" applyFont="1" applyBorder="1" applyAlignment="1">
      <alignment horizontal="center" vertical="center" wrapText="1"/>
      <protection locked="0"/>
    </xf>
    <xf numFmtId="10" fontId="85" fillId="0" borderId="10" xfId="0" applyNumberFormat="1" applyFont="1" applyBorder="1" applyAlignment="1">
      <alignment horizontal="center" vertical="center" wrapText="1"/>
      <protection locked="0"/>
    </xf>
    <xf numFmtId="49" fontId="86" fillId="0" borderId="8" xfId="0" applyNumberFormat="1" applyFont="1" applyBorder="1" applyAlignment="1">
      <alignment vertical="center" wrapText="1"/>
      <protection locked="0"/>
    </xf>
    <xf numFmtId="168" fontId="87" fillId="0" borderId="8" xfId="0" applyNumberFormat="1" applyFont="1" applyBorder="1" applyAlignment="1">
      <alignment vertical="center" wrapText="1"/>
      <protection locked="0"/>
    </xf>
    <xf numFmtId="49" fontId="89" fillId="0" borderId="10" xfId="0" applyNumberFormat="1" applyFont="1" applyBorder="1" applyAlignment="1">
      <alignment vertical="center" wrapText="1"/>
      <protection locked="0"/>
    </xf>
    <xf numFmtId="168" fontId="90" fillId="0" borderId="10" xfId="0" applyNumberFormat="1" applyFont="1" applyBorder="1" applyAlignment="1">
      <alignment vertical="center" wrapText="1"/>
      <protection locked="0"/>
    </xf>
    <xf numFmtId="168" fontId="91" fillId="0" borderId="8" xfId="0" applyNumberFormat="1" applyFont="1" applyBorder="1" applyAlignment="1">
      <alignment horizontal="center" vertical="center" wrapText="1"/>
      <protection locked="0"/>
    </xf>
    <xf numFmtId="0" fontId="92" fillId="0" borderId="0" xfId="0" applyFont="1" applyAlignment="1">
      <alignment vertical="center" wrapText="1"/>
      <protection locked="0"/>
    </xf>
    <xf numFmtId="3" fontId="93" fillId="0" borderId="10" xfId="0" applyNumberFormat="1" applyFont="1" applyBorder="1" applyAlignment="1">
      <alignment horizontal="center" vertical="center" wrapText="1"/>
      <protection locked="0"/>
    </xf>
    <xf numFmtId="10" fontId="98" fillId="2" borderId="6" xfId="0" applyNumberFormat="1" applyFont="1" applyFill="1" applyBorder="1" applyAlignment="1">
      <alignment horizontal="center" vertical="center" wrapText="1"/>
      <protection locked="0"/>
    </xf>
    <xf numFmtId="168" fontId="99" fillId="0" borderId="8" xfId="0" applyNumberFormat="1" applyFont="1" applyBorder="1" applyAlignment="1">
      <alignment horizontal="center" vertical="center" wrapText="1"/>
      <protection locked="0"/>
    </xf>
    <xf numFmtId="165" fontId="100" fillId="0" borderId="8" xfId="0" applyNumberFormat="1" applyFont="1" applyBorder="1" applyAlignment="1">
      <alignment vertical="center" wrapText="1"/>
      <protection locked="0"/>
    </xf>
    <xf numFmtId="168" fontId="101" fillId="0" borderId="8" xfId="0" applyNumberFormat="1" applyFont="1" applyBorder="1" applyAlignment="1">
      <alignment vertical="center" wrapText="1"/>
      <protection locked="0"/>
    </xf>
    <xf numFmtId="3" fontId="102" fillId="0" borderId="8" xfId="0" applyNumberFormat="1" applyFont="1" applyBorder="1" applyAlignment="1">
      <alignment vertical="center" wrapText="1"/>
      <protection locked="0"/>
    </xf>
    <xf numFmtId="168" fontId="103" fillId="0" borderId="10" xfId="0" applyNumberFormat="1" applyFont="1" applyBorder="1" applyAlignment="1">
      <alignment horizontal="center" vertical="center" wrapText="1"/>
      <protection locked="0"/>
    </xf>
    <xf numFmtId="165" fontId="104" fillId="0" borderId="10" xfId="0" applyNumberFormat="1" applyFont="1" applyBorder="1" applyAlignment="1">
      <alignment vertical="center" wrapText="1"/>
      <protection locked="0"/>
    </xf>
    <xf numFmtId="168" fontId="105" fillId="0" borderId="10" xfId="0" applyNumberFormat="1" applyFont="1" applyBorder="1" applyAlignment="1">
      <alignment vertical="center" wrapText="1"/>
      <protection locked="0"/>
    </xf>
    <xf numFmtId="3" fontId="106" fillId="0" borderId="10" xfId="0" applyNumberFormat="1" applyFont="1" applyBorder="1" applyAlignment="1">
      <alignment vertical="center" wrapText="1"/>
      <protection locked="0"/>
    </xf>
    <xf numFmtId="3" fontId="107" fillId="0" borderId="7" xfId="0" applyNumberFormat="1" applyFont="1" applyBorder="1" applyAlignment="1">
      <alignment horizontal="center" vertical="center" wrapText="1"/>
      <protection locked="0"/>
    </xf>
    <xf numFmtId="0" fontId="108" fillId="0" borderId="8" xfId="0" applyFont="1" applyBorder="1" applyAlignment="1">
      <alignment horizontal="center" vertical="center" wrapText="1"/>
      <protection locked="0"/>
    </xf>
    <xf numFmtId="0" fontId="109" fillId="0" borderId="8" xfId="0" applyFont="1" applyBorder="1" applyAlignment="1">
      <alignment vertical="center" wrapText="1"/>
      <protection locked="0"/>
    </xf>
    <xf numFmtId="3" fontId="110" fillId="0" borderId="8" xfId="0" applyNumberFormat="1" applyFont="1" applyBorder="1" applyAlignment="1">
      <alignment vertical="center" wrapText="1"/>
      <protection locked="0"/>
    </xf>
    <xf numFmtId="3" fontId="111" fillId="0" borderId="8" xfId="0" applyNumberFormat="1" applyFont="1" applyBorder="1" applyAlignment="1">
      <alignment horizontal="center" vertical="center" wrapText="1"/>
      <protection locked="0"/>
    </xf>
    <xf numFmtId="165" fontId="112" fillId="0" borderId="8" xfId="0" applyNumberFormat="1" applyFont="1" applyBorder="1" applyAlignment="1">
      <alignment vertical="center" wrapText="1"/>
      <protection locked="0"/>
    </xf>
    <xf numFmtId="3" fontId="113" fillId="0" borderId="8" xfId="0" applyNumberFormat="1" applyFont="1" applyBorder="1" applyAlignment="1">
      <alignment vertical="center" wrapText="1"/>
      <protection locked="0"/>
    </xf>
    <xf numFmtId="3" fontId="114" fillId="0" borderId="7" xfId="0" applyNumberFormat="1" applyFont="1" applyBorder="1" applyAlignment="1">
      <alignment horizontal="center" vertical="center" wrapText="1"/>
      <protection locked="0"/>
    </xf>
    <xf numFmtId="0" fontId="115" fillId="0" borderId="8" xfId="0" applyFont="1" applyBorder="1" applyAlignment="1">
      <alignment horizontal="center" vertical="center" wrapText="1"/>
      <protection locked="0"/>
    </xf>
    <xf numFmtId="0" fontId="116" fillId="0" borderId="8" xfId="0" applyFont="1" applyBorder="1" applyAlignment="1">
      <alignment vertical="center" wrapText="1"/>
      <protection locked="0"/>
    </xf>
    <xf numFmtId="3" fontId="117" fillId="0" borderId="8" xfId="0" applyNumberFormat="1" applyFont="1" applyBorder="1" applyAlignment="1">
      <alignment vertical="center" wrapText="1"/>
      <protection locked="0"/>
    </xf>
    <xf numFmtId="3" fontId="118" fillId="0" borderId="8" xfId="0" applyNumberFormat="1" applyFont="1" applyBorder="1" applyAlignment="1">
      <alignment horizontal="center" vertical="center" wrapText="1"/>
      <protection locked="0"/>
    </xf>
    <xf numFmtId="165" fontId="119" fillId="0" borderId="8" xfId="0" applyNumberFormat="1" applyFont="1" applyBorder="1" applyAlignment="1">
      <alignment vertical="center" wrapText="1"/>
      <protection locked="0"/>
    </xf>
    <xf numFmtId="3" fontId="120" fillId="0" borderId="8" xfId="0" applyNumberFormat="1" applyFont="1" applyBorder="1" applyAlignment="1">
      <alignment horizontal="center" vertical="center" wrapText="1"/>
      <protection locked="0"/>
    </xf>
    <xf numFmtId="10" fontId="121" fillId="0" borderId="8" xfId="0" applyNumberFormat="1" applyFont="1" applyBorder="1" applyAlignment="1">
      <alignment vertical="center" wrapText="1"/>
      <protection locked="0"/>
    </xf>
    <xf numFmtId="10" fontId="122" fillId="0" borderId="8" xfId="0" applyNumberFormat="1" applyFont="1" applyBorder="1" applyAlignment="1">
      <alignment horizontal="center" vertical="center" wrapText="1"/>
      <protection locked="0"/>
    </xf>
    <xf numFmtId="169" fontId="123" fillId="0" borderId="8" xfId="0" applyNumberFormat="1" applyFont="1" applyBorder="1" applyAlignment="1">
      <alignment vertical="center" wrapText="1"/>
      <protection locked="0"/>
    </xf>
    <xf numFmtId="166" fontId="124" fillId="0" borderId="8" xfId="0" applyNumberFormat="1" applyFont="1" applyBorder="1" applyAlignment="1">
      <alignment horizontal="center" vertical="center" wrapText="1"/>
      <protection locked="0"/>
    </xf>
    <xf numFmtId="3" fontId="125" fillId="0" borderId="10" xfId="0" applyNumberFormat="1" applyFont="1" applyBorder="1" applyAlignment="1">
      <alignment horizontal="center" vertical="center" wrapText="1"/>
      <protection locked="0"/>
    </xf>
    <xf numFmtId="10" fontId="126" fillId="0" borderId="10" xfId="0" applyNumberFormat="1" applyFont="1" applyBorder="1" applyAlignment="1">
      <alignment vertical="center" wrapText="1"/>
      <protection locked="0"/>
    </xf>
    <xf numFmtId="0" fontId="127" fillId="0" borderId="7" xfId="0" applyFont="1" applyBorder="1" applyAlignment="1">
      <alignment horizontal="center" vertical="center" wrapText="1"/>
      <protection locked="0"/>
    </xf>
    <xf numFmtId="168" fontId="128" fillId="0" borderId="8" xfId="0" applyNumberFormat="1" applyFont="1" applyBorder="1" applyAlignment="1">
      <alignment vertical="center" wrapText="1"/>
      <protection locked="0"/>
    </xf>
    <xf numFmtId="0" fontId="129" fillId="0" borderId="7" xfId="0" applyFont="1" applyBorder="1" applyAlignment="1">
      <alignment horizontal="center" vertical="center" wrapText="1"/>
      <protection locked="0"/>
    </xf>
    <xf numFmtId="0" fontId="130" fillId="0" borderId="8" xfId="0" applyFont="1" applyBorder="1" applyAlignment="1">
      <alignment vertical="center" wrapText="1"/>
      <protection locked="0"/>
    </xf>
    <xf numFmtId="0" fontId="131" fillId="0" borderId="9" xfId="0" applyFont="1" applyBorder="1" applyAlignment="1">
      <alignment horizontal="center" vertical="center" wrapText="1"/>
      <protection locked="0"/>
    </xf>
    <xf numFmtId="169" fontId="132" fillId="0" borderId="10" xfId="0" applyNumberFormat="1" applyFont="1" applyBorder="1" applyAlignment="1">
      <alignment vertical="center" wrapText="1"/>
      <protection locked="0"/>
    </xf>
    <xf numFmtId="166" fontId="133" fillId="0" borderId="10" xfId="0" applyNumberFormat="1" applyFont="1" applyBorder="1" applyAlignment="1">
      <alignment horizontal="center" vertical="center" wrapText="1"/>
      <protection locked="0"/>
    </xf>
    <xf numFmtId="168" fontId="134" fillId="0" borderId="8" xfId="0" applyNumberFormat="1" applyFont="1" applyBorder="1" applyAlignment="1">
      <alignment horizontal="center" vertical="center" wrapText="1"/>
      <protection locked="0"/>
    </xf>
    <xf numFmtId="3" fontId="135" fillId="0" borderId="8" xfId="0" applyNumberFormat="1" applyFont="1" applyBorder="1" applyAlignment="1">
      <alignment horizontal="center" vertical="center" wrapText="1"/>
      <protection locked="0"/>
    </xf>
    <xf numFmtId="3" fontId="136" fillId="3" borderId="8" xfId="0" applyNumberFormat="1" applyFont="1" applyFill="1" applyBorder="1" applyAlignment="1">
      <alignment horizontal="center" vertical="center" wrapText="1"/>
      <protection locked="0"/>
    </xf>
    <xf numFmtId="3" fontId="137" fillId="3" borderId="8" xfId="0" applyNumberFormat="1" applyFont="1" applyFill="1" applyBorder="1" applyAlignment="1">
      <alignment vertical="center" wrapText="1"/>
      <protection locked="0"/>
    </xf>
    <xf numFmtId="0" fontId="138" fillId="0" borderId="9" xfId="0" applyFont="1" applyBorder="1" applyAlignment="1">
      <alignment horizontal="center" vertical="center" wrapText="1"/>
      <protection locked="0"/>
    </xf>
    <xf numFmtId="0" fontId="139" fillId="0" borderId="10" xfId="0" applyFont="1" applyBorder="1" applyAlignment="1">
      <alignment horizontal="center" vertical="center" wrapText="1"/>
      <protection locked="0"/>
    </xf>
    <xf numFmtId="0" fontId="140" fillId="0" borderId="10" xfId="0" applyFont="1" applyBorder="1" applyAlignment="1">
      <alignment vertical="center" wrapText="1"/>
      <protection locked="0"/>
    </xf>
    <xf numFmtId="3" fontId="141" fillId="0" borderId="10" xfId="0" applyNumberFormat="1" applyFont="1" applyBorder="1" applyAlignment="1">
      <alignment vertical="center" wrapText="1"/>
      <protection locked="0"/>
    </xf>
    <xf numFmtId="3" fontId="142" fillId="3" borderId="10" xfId="0" applyNumberFormat="1" applyFont="1" applyFill="1" applyBorder="1" applyAlignment="1">
      <alignment vertical="center" wrapText="1"/>
      <protection locked="0"/>
    </xf>
    <xf numFmtId="0" fontId="143" fillId="0" borderId="8" xfId="0" applyFont="1" applyBorder="1" applyAlignment="1">
      <alignment vertical="center" wrapText="1"/>
      <protection locked="0"/>
    </xf>
    <xf numFmtId="0" fontId="144" fillId="0" borderId="7" xfId="0" applyFont="1" applyBorder="1" applyAlignment="1">
      <alignment vertical="center" wrapText="1"/>
      <protection locked="0"/>
    </xf>
    <xf numFmtId="0" fontId="145" fillId="0" borderId="8" xfId="0" applyFont="1" applyBorder="1" applyAlignment="1">
      <alignment horizontal="center" vertical="center" wrapText="1"/>
      <protection locked="0"/>
    </xf>
    <xf numFmtId="3" fontId="146" fillId="0" borderId="8" xfId="0" applyNumberFormat="1" applyFont="1" applyBorder="1" applyAlignment="1">
      <alignment vertical="center" wrapText="1"/>
      <protection locked="0"/>
    </xf>
    <xf numFmtId="0" fontId="147" fillId="0" borderId="7" xfId="0" applyFont="1" applyBorder="1" applyAlignment="1">
      <alignment vertical="center" wrapText="1"/>
      <protection locked="0"/>
    </xf>
    <xf numFmtId="0" fontId="148" fillId="0" borderId="9" xfId="0" applyFont="1" applyBorder="1" applyAlignment="1">
      <alignment vertical="center" wrapText="1"/>
      <protection locked="0"/>
    </xf>
    <xf numFmtId="0" fontId="149" fillId="0" borderId="8" xfId="0" applyFont="1" applyBorder="1" applyAlignment="1">
      <alignment vertical="center" wrapText="1"/>
      <protection locked="0"/>
    </xf>
    <xf numFmtId="3" fontId="150" fillId="0" borderId="8" xfId="0" applyNumberFormat="1" applyFont="1" applyBorder="1" applyAlignment="1">
      <alignment vertical="center" wrapText="1"/>
      <protection locked="0"/>
    </xf>
    <xf numFmtId="0" fontId="152" fillId="0" borderId="7" xfId="0" applyFont="1" applyBorder="1" applyAlignment="1">
      <alignment horizontal="center" vertical="center" wrapText="1"/>
      <protection locked="0"/>
    </xf>
    <xf numFmtId="0" fontId="153" fillId="0" borderId="8" xfId="0" applyFont="1" applyBorder="1" applyAlignment="1">
      <alignment vertical="center" wrapText="1"/>
      <protection locked="0"/>
    </xf>
    <xf numFmtId="0" fontId="154" fillId="0" borderId="8" xfId="0" applyFont="1" applyBorder="1" applyAlignment="1">
      <alignment horizontal="center" vertical="center" wrapText="1"/>
      <protection locked="0"/>
    </xf>
    <xf numFmtId="3" fontId="155" fillId="0" borderId="8" xfId="0" applyNumberFormat="1" applyFont="1" applyBorder="1" applyAlignment="1">
      <alignment vertical="center" wrapText="1"/>
      <protection locked="0"/>
    </xf>
    <xf numFmtId="0" fontId="156" fillId="0" borderId="7" xfId="0" applyFont="1" applyBorder="1" applyAlignment="1">
      <alignment horizontal="center" vertical="center" wrapText="1"/>
      <protection locked="0"/>
    </xf>
    <xf numFmtId="49" fontId="157" fillId="0" borderId="8" xfId="0" applyNumberFormat="1" applyFont="1" applyBorder="1" applyAlignment="1">
      <alignment horizontal="center" vertical="center" wrapText="1"/>
      <protection locked="0"/>
    </xf>
    <xf numFmtId="49" fontId="158" fillId="0" borderId="8" xfId="0" applyNumberFormat="1" applyFont="1" applyBorder="1" applyAlignment="1">
      <alignment horizontal="center" vertical="center" wrapText="1"/>
      <protection locked="0"/>
    </xf>
    <xf numFmtId="9" fontId="159" fillId="0" borderId="8" xfId="0" applyNumberFormat="1" applyFont="1" applyBorder="1" applyAlignment="1">
      <alignment vertical="center" wrapText="1"/>
      <protection locked="0"/>
    </xf>
    <xf numFmtId="9" fontId="160" fillId="0" borderId="8" xfId="0" applyNumberFormat="1" applyFont="1" applyBorder="1" applyAlignment="1">
      <alignment horizontal="center" vertical="center" wrapText="1"/>
      <protection locked="0"/>
    </xf>
    <xf numFmtId="10" fontId="161" fillId="0" borderId="8" xfId="0" applyNumberFormat="1" applyFont="1" applyBorder="1" applyAlignment="1">
      <alignment vertical="center" wrapText="1"/>
      <protection locked="0"/>
    </xf>
    <xf numFmtId="10" fontId="162" fillId="0" borderId="8" xfId="0" applyNumberFormat="1" applyFont="1" applyBorder="1" applyAlignment="1">
      <alignment horizontal="center" vertical="center" wrapText="1"/>
      <protection locked="0"/>
    </xf>
    <xf numFmtId="0" fontId="163" fillId="0" borderId="7" xfId="0" applyFont="1" applyBorder="1" applyAlignment="1">
      <alignment horizontal="center" vertical="center" wrapText="1"/>
      <protection locked="0"/>
    </xf>
    <xf numFmtId="0" fontId="164" fillId="0" borderId="8" xfId="0" applyFont="1" applyBorder="1" applyAlignment="1">
      <alignment horizontal="center" vertical="center" wrapText="1"/>
      <protection locked="0"/>
    </xf>
    <xf numFmtId="0" fontId="165" fillId="0" borderId="8" xfId="0" applyFont="1" applyBorder="1" applyAlignment="1">
      <alignment vertical="center" wrapText="1"/>
      <protection locked="0"/>
    </xf>
    <xf numFmtId="0" fontId="166" fillId="0" borderId="8" xfId="0" applyFont="1" applyBorder="1" applyAlignment="1">
      <alignment horizontal="center" vertical="center" wrapText="1"/>
      <protection locked="0"/>
    </xf>
    <xf numFmtId="3" fontId="167" fillId="0" borderId="8" xfId="0" applyNumberFormat="1" applyFont="1" applyBorder="1" applyAlignment="1">
      <alignment vertical="center" wrapText="1"/>
      <protection locked="0"/>
    </xf>
    <xf numFmtId="0" fontId="173" fillId="0" borderId="10" xfId="0" applyFont="1" applyBorder="1" applyAlignment="1">
      <alignment horizontal="center" vertical="center" wrapText="1"/>
      <protection locked="0"/>
    </xf>
    <xf numFmtId="0" fontId="177" fillId="2" borderId="6" xfId="0" applyFont="1" applyFill="1" applyBorder="1" applyAlignment="1">
      <alignment horizontal="center" vertical="center" wrapText="1"/>
      <protection locked="0"/>
    </xf>
    <xf numFmtId="49" fontId="178" fillId="0" borderId="7" xfId="0" applyNumberFormat="1" applyFont="1" applyBorder="1" applyAlignment="1">
      <alignment horizontal="center" vertical="center" wrapText="1"/>
      <protection locked="0"/>
    </xf>
    <xf numFmtId="49" fontId="179" fillId="0" borderId="8" xfId="0" applyNumberFormat="1" applyFont="1" applyBorder="1" applyAlignment="1">
      <alignment vertical="center" wrapText="1"/>
      <protection locked="0"/>
    </xf>
    <xf numFmtId="49" fontId="180" fillId="0" borderId="8" xfId="0" applyNumberFormat="1" applyFont="1" applyBorder="1" applyAlignment="1">
      <alignment horizontal="center" vertical="center" wrapText="1"/>
      <protection locked="0"/>
    </xf>
    <xf numFmtId="168" fontId="181" fillId="0" borderId="8" xfId="0" applyNumberFormat="1" applyFont="1" applyBorder="1" applyAlignment="1">
      <alignment vertical="center" wrapText="1"/>
      <protection locked="0"/>
    </xf>
    <xf numFmtId="3" fontId="182" fillId="0" borderId="8" xfId="0" applyNumberFormat="1" applyFont="1" applyBorder="1" applyAlignment="1">
      <alignment vertical="center" wrapText="1"/>
      <protection locked="0"/>
    </xf>
    <xf numFmtId="166" fontId="183" fillId="0" borderId="8" xfId="0" applyNumberFormat="1" applyFont="1" applyBorder="1" applyAlignment="1">
      <alignment horizontal="center" vertical="center" wrapText="1"/>
      <protection locked="0"/>
    </xf>
    <xf numFmtId="0" fontId="184" fillId="0" borderId="8" xfId="0" applyFont="1" applyBorder="1" applyAlignment="1">
      <alignment horizontal="left" vertical="center" wrapText="1"/>
      <protection locked="0"/>
    </xf>
    <xf numFmtId="49" fontId="185" fillId="0" borderId="7" xfId="0" applyNumberFormat="1" applyFont="1" applyBorder="1" applyAlignment="1">
      <alignment vertical="center" wrapText="1"/>
      <protection locked="0"/>
    </xf>
    <xf numFmtId="49" fontId="186" fillId="0" borderId="8" xfId="0" applyNumberFormat="1" applyFont="1" applyBorder="1" applyAlignment="1">
      <alignment horizontal="center" vertical="center" wrapText="1"/>
      <protection locked="0"/>
    </xf>
    <xf numFmtId="49" fontId="187" fillId="0" borderId="8" xfId="0" applyNumberFormat="1" applyFont="1" applyBorder="1" applyAlignment="1">
      <alignment vertical="center" wrapText="1"/>
      <protection locked="0"/>
    </xf>
    <xf numFmtId="168" fontId="188" fillId="0" borderId="8" xfId="0" applyNumberFormat="1" applyFont="1" applyBorder="1" applyAlignment="1">
      <alignment vertical="center" wrapText="1"/>
      <protection locked="0"/>
    </xf>
    <xf numFmtId="166" fontId="189" fillId="0" borderId="8" xfId="0" applyNumberFormat="1" applyFont="1" applyBorder="1" applyAlignment="1">
      <alignment vertical="center" wrapText="1"/>
      <protection locked="0"/>
    </xf>
    <xf numFmtId="0" fontId="190" fillId="0" borderId="8" xfId="0" applyFont="1" applyBorder="1" applyAlignment="1">
      <alignment horizontal="left" vertical="center" wrapText="1"/>
      <protection locked="0"/>
    </xf>
    <xf numFmtId="0" fontId="193" fillId="0" borderId="10" xfId="0" applyFont="1" applyBorder="1" applyAlignment="1">
      <alignment horizontal="left" vertical="center" wrapText="1"/>
      <protection locked="0"/>
    </xf>
    <xf numFmtId="49" fontId="194" fillId="0" borderId="0" xfId="0" applyNumberFormat="1" applyFont="1" applyAlignment="1">
      <alignment vertical="center" wrapText="1"/>
      <protection locked="0"/>
    </xf>
    <xf numFmtId="49" fontId="195" fillId="0" borderId="0" xfId="0" applyNumberFormat="1" applyFont="1" applyAlignment="1">
      <alignment vertical="center" wrapText="1"/>
      <protection locked="0"/>
    </xf>
    <xf numFmtId="0" fontId="196" fillId="0" borderId="8" xfId="0" applyFont="1" applyBorder="1" applyAlignment="1">
      <alignment vertical="center" wrapText="1"/>
      <protection locked="0"/>
    </xf>
    <xf numFmtId="49" fontId="197" fillId="2" borderId="11" xfId="0" applyNumberFormat="1" applyFont="1" applyFill="1" applyBorder="1" applyAlignment="1">
      <alignment horizontal="center" vertical="center" wrapText="1"/>
      <protection locked="0"/>
    </xf>
    <xf numFmtId="49" fontId="198" fillId="2" borderId="4" xfId="0" applyNumberFormat="1" applyFont="1" applyFill="1" applyBorder="1" applyAlignment="1">
      <alignment horizontal="center" vertical="center" wrapText="1"/>
      <protection locked="0"/>
    </xf>
    <xf numFmtId="170" fontId="199" fillId="0" borderId="8" xfId="0" applyNumberFormat="1" applyFont="1" applyBorder="1" applyAlignment="1">
      <alignment horizontal="center" vertical="center" wrapText="1"/>
      <protection locked="0"/>
    </xf>
    <xf numFmtId="170" fontId="202" fillId="0" borderId="10" xfId="0" applyNumberFormat="1" applyFont="1" applyBorder="1" applyAlignment="1">
      <alignment horizontal="center" vertical="center" wrapText="1"/>
      <protection locked="0"/>
    </xf>
    <xf numFmtId="49" fontId="206" fillId="2" borderId="6" xfId="0" applyNumberFormat="1" applyFont="1" applyFill="1" applyBorder="1" applyAlignment="1">
      <alignment horizontal="center" vertical="center" wrapText="1"/>
      <protection locked="0"/>
    </xf>
    <xf numFmtId="3" fontId="208" fillId="0" borderId="10" xfId="0" applyNumberFormat="1" applyFont="1" applyBorder="1" applyAlignment="1">
      <alignment wrapText="1"/>
      <protection locked="0"/>
    </xf>
    <xf numFmtId="0" fontId="211" fillId="0" borderId="0" xfId="0" applyFont="1" applyAlignment="1" applyProtection="1">
      <alignment horizontal="center" vertical="center" wrapText="1"/>
    </xf>
    <xf numFmtId="0" fontId="212" fillId="0" borderId="0" xfId="0" applyFont="1" applyAlignment="1">
      <alignment horizontal="center" vertical="center" wrapText="1"/>
      <protection locked="0"/>
    </xf>
    <xf numFmtId="0" fontId="213" fillId="2" borderId="4" xfId="0" applyFont="1" applyFill="1" applyBorder="1" applyAlignment="1" applyProtection="1">
      <alignment horizontal="center" vertical="center" wrapText="1"/>
    </xf>
    <xf numFmtId="170" fontId="214" fillId="0" borderId="0" xfId="0" applyNumberFormat="1" applyFont="1" applyAlignment="1" applyProtection="1">
      <alignment horizontal="right" vertical="center" wrapText="1"/>
    </xf>
    <xf numFmtId="0" fontId="215" fillId="0" borderId="7" xfId="0" applyFont="1" applyBorder="1" applyAlignment="1">
      <alignment horizontal="center" vertical="center" wrapText="1"/>
      <protection locked="0"/>
    </xf>
    <xf numFmtId="0" fontId="216" fillId="0" borderId="8" xfId="0" applyFont="1" applyBorder="1" applyAlignment="1">
      <alignment vertical="center" wrapText="1"/>
      <protection locked="0"/>
    </xf>
    <xf numFmtId="0" fontId="217" fillId="0" borderId="8" xfId="0" applyFont="1" applyBorder="1" applyAlignment="1" applyProtection="1">
      <alignment horizontal="center" vertical="center" wrapText="1"/>
    </xf>
    <xf numFmtId="170" fontId="218" fillId="0" borderId="8" xfId="0" applyNumberFormat="1" applyFont="1" applyBorder="1" applyAlignment="1">
      <alignment horizontal="center" vertical="center" wrapText="1"/>
      <protection locked="0"/>
    </xf>
    <xf numFmtId="166" fontId="219" fillId="0" borderId="8" xfId="0" applyNumberFormat="1" applyFont="1" applyBorder="1" applyAlignment="1">
      <alignment horizontal="center" vertical="center" wrapText="1"/>
      <protection locked="0"/>
    </xf>
    <xf numFmtId="0" fontId="220" fillId="0" borderId="8" xfId="0" applyFont="1" applyBorder="1" applyAlignment="1">
      <alignment horizontal="center" vertical="center" wrapText="1"/>
      <protection locked="0"/>
    </xf>
    <xf numFmtId="3" fontId="221" fillId="0" borderId="8" xfId="0" applyNumberFormat="1" applyFont="1" applyBorder="1" applyAlignment="1">
      <alignment vertical="center" wrapText="1"/>
      <protection locked="0"/>
    </xf>
    <xf numFmtId="0" fontId="222" fillId="0" borderId="0" xfId="0" applyFont="1" applyAlignment="1" applyProtection="1">
      <alignment horizontal="right" vertical="center" wrapText="1"/>
    </xf>
    <xf numFmtId="0" fontId="223" fillId="0" borderId="7" xfId="0" applyFont="1" applyBorder="1" applyAlignment="1">
      <alignment horizontal="center" vertical="center" wrapText="1"/>
      <protection locked="0"/>
    </xf>
    <xf numFmtId="0" fontId="224" fillId="0" borderId="7" xfId="0" applyFont="1" applyBorder="1" applyAlignment="1">
      <alignment horizontal="center" vertical="center" wrapText="1"/>
      <protection locked="0"/>
    </xf>
    <xf numFmtId="0" fontId="225" fillId="0" borderId="8" xfId="0" applyFont="1" applyBorder="1" applyAlignment="1">
      <alignment vertical="center" wrapText="1"/>
      <protection locked="0"/>
    </xf>
    <xf numFmtId="0" fontId="226" fillId="0" borderId="8" xfId="0" applyFont="1" applyBorder="1" applyAlignment="1" applyProtection="1">
      <alignment horizontal="center" vertical="center" wrapText="1"/>
    </xf>
    <xf numFmtId="170" fontId="227" fillId="0" borderId="8" xfId="0" applyNumberFormat="1" applyFont="1" applyBorder="1" applyAlignment="1">
      <alignment horizontal="center" vertical="center" wrapText="1"/>
      <protection locked="0"/>
    </xf>
    <xf numFmtId="166" fontId="228" fillId="0" borderId="8" xfId="0" applyNumberFormat="1" applyFont="1" applyBorder="1" applyAlignment="1">
      <alignment horizontal="center" vertical="center" wrapText="1"/>
      <protection locked="0"/>
    </xf>
    <xf numFmtId="0" fontId="229" fillId="0" borderId="8" xfId="0" applyFont="1" applyBorder="1" applyAlignment="1">
      <alignment horizontal="center" vertical="center" wrapText="1"/>
      <protection locked="0"/>
    </xf>
    <xf numFmtId="3" fontId="230" fillId="0" borderId="8" xfId="0" applyNumberFormat="1" applyFont="1" applyBorder="1" applyAlignment="1">
      <alignment vertical="center" wrapText="1"/>
      <protection locked="0"/>
    </xf>
    <xf numFmtId="3" fontId="231" fillId="0" borderId="0" xfId="0" applyNumberFormat="1" applyFont="1" applyAlignment="1" applyProtection="1">
      <alignment horizontal="right" vertical="center" wrapText="1"/>
    </xf>
    <xf numFmtId="3" fontId="232" fillId="0" borderId="0" xfId="0" applyNumberFormat="1" applyFont="1" applyAlignment="1" applyProtection="1">
      <alignment vertical="center" wrapText="1"/>
    </xf>
    <xf numFmtId="0" fontId="233" fillId="0" borderId="7" xfId="0" applyFont="1" applyBorder="1" applyAlignment="1">
      <alignment horizontal="center" vertical="center" wrapText="1"/>
      <protection locked="0"/>
    </xf>
    <xf numFmtId="0" fontId="234" fillId="0" borderId="8" xfId="0" applyFont="1" applyBorder="1" applyAlignment="1">
      <alignment vertical="center" wrapText="1"/>
      <protection locked="0"/>
    </xf>
    <xf numFmtId="0" fontId="235" fillId="0" borderId="8" xfId="0" applyFont="1" applyBorder="1" applyAlignment="1" applyProtection="1">
      <alignment horizontal="center" vertical="center" wrapText="1"/>
    </xf>
    <xf numFmtId="170" fontId="236" fillId="0" borderId="8" xfId="0" applyNumberFormat="1" applyFont="1" applyBorder="1" applyAlignment="1">
      <alignment horizontal="center" vertical="center" wrapText="1"/>
      <protection locked="0"/>
    </xf>
    <xf numFmtId="166" fontId="237" fillId="0" borderId="8" xfId="0" applyNumberFormat="1" applyFont="1" applyBorder="1" applyAlignment="1">
      <alignment horizontal="center" vertical="center" wrapText="1"/>
      <protection locked="0"/>
    </xf>
    <xf numFmtId="0" fontId="238" fillId="0" borderId="8" xfId="0" applyFont="1" applyBorder="1" applyAlignment="1">
      <alignment horizontal="center" vertical="center" wrapText="1"/>
      <protection locked="0"/>
    </xf>
    <xf numFmtId="0" fontId="239" fillId="0" borderId="8" xfId="0" applyFont="1" applyBorder="1" applyAlignment="1">
      <alignment horizontal="center" vertical="center" wrapText="1"/>
      <protection locked="0"/>
    </xf>
    <xf numFmtId="0" fontId="240" fillId="0" borderId="0" xfId="0" applyFont="1" applyAlignment="1" applyProtection="1">
      <alignment vertical="center" wrapText="1"/>
    </xf>
    <xf numFmtId="3" fontId="241" fillId="0" borderId="0" xfId="0" applyNumberFormat="1" applyFont="1" applyAlignment="1" applyProtection="1">
      <alignment vertical="center" wrapText="1"/>
    </xf>
    <xf numFmtId="0" fontId="242" fillId="0" borderId="7" xfId="0" applyFont="1" applyBorder="1" applyAlignment="1">
      <alignment horizontal="center" vertical="center" wrapText="1"/>
      <protection locked="0"/>
    </xf>
    <xf numFmtId="0" fontId="243" fillId="0" borderId="8" xfId="0" applyFont="1" applyBorder="1" applyAlignment="1">
      <alignment vertical="center" wrapText="1"/>
      <protection locked="0"/>
    </xf>
    <xf numFmtId="0" fontId="244" fillId="0" borderId="8" xfId="0" applyFont="1" applyBorder="1" applyAlignment="1" applyProtection="1">
      <alignment horizontal="center" vertical="center" wrapText="1"/>
    </xf>
    <xf numFmtId="170" fontId="245" fillId="0" borderId="8" xfId="0" applyNumberFormat="1" applyFont="1" applyBorder="1" applyAlignment="1">
      <alignment horizontal="center" vertical="center" wrapText="1"/>
      <protection locked="0"/>
    </xf>
    <xf numFmtId="166" fontId="246" fillId="0" borderId="8" xfId="0" applyNumberFormat="1" applyFont="1" applyBorder="1" applyAlignment="1">
      <alignment horizontal="center" vertical="center" wrapText="1"/>
      <protection locked="0"/>
    </xf>
    <xf numFmtId="0" fontId="247" fillId="0" borderId="8" xfId="0" applyFont="1" applyBorder="1" applyAlignment="1">
      <alignment horizontal="center" vertical="center" wrapText="1"/>
      <protection locked="0"/>
    </xf>
    <xf numFmtId="3" fontId="248" fillId="0" borderId="8" xfId="0" applyNumberFormat="1" applyFont="1" applyBorder="1" applyAlignment="1">
      <alignment vertical="center" wrapText="1"/>
      <protection locked="0"/>
    </xf>
    <xf numFmtId="0" fontId="250" fillId="0" borderId="10" xfId="0" applyFont="1" applyBorder="1" applyAlignment="1">
      <alignment vertical="center" wrapText="1"/>
      <protection locked="0"/>
    </xf>
    <xf numFmtId="0" fontId="251" fillId="0" borderId="0" xfId="0" applyFont="1" applyAlignment="1" applyProtection="1">
      <alignment vertical="center" wrapText="1"/>
    </xf>
    <xf numFmtId="0" fontId="252" fillId="0" borderId="0" xfId="0" applyFont="1" applyAlignment="1" applyProtection="1">
      <alignment horizontal="right" vertical="center" wrapText="1"/>
    </xf>
    <xf numFmtId="0" fontId="253" fillId="0" borderId="0" xfId="0" applyFont="1" applyAlignment="1" applyProtection="1">
      <alignment vertical="center" wrapText="1"/>
    </xf>
    <xf numFmtId="0" fontId="256" fillId="2" borderId="0" xfId="0" applyFont="1" applyFill="1" applyAlignment="1">
      <alignment horizontal="center" vertical="center" wrapText="1"/>
      <protection locked="0"/>
    </xf>
    <xf numFmtId="0" fontId="257" fillId="0" borderId="7" xfId="0" applyFont="1" applyBorder="1" applyAlignment="1">
      <alignment vertical="center" wrapText="1"/>
      <protection locked="0"/>
    </xf>
    <xf numFmtId="49" fontId="258" fillId="0" borderId="8" xfId="0" applyNumberFormat="1" applyFont="1" applyBorder="1" applyAlignment="1">
      <alignment horizontal="right" vertical="center" wrapText="1"/>
      <protection locked="0"/>
    </xf>
    <xf numFmtId="49" fontId="259" fillId="0" borderId="8" xfId="0" applyNumberFormat="1" applyFont="1" applyBorder="1" applyAlignment="1">
      <alignment horizontal="right" vertical="center" wrapText="1"/>
      <protection locked="0"/>
    </xf>
    <xf numFmtId="0" fontId="260" fillId="0" borderId="9" xfId="0" applyFont="1" applyBorder="1" applyAlignment="1">
      <alignment vertical="center" wrapText="1"/>
      <protection locked="0"/>
    </xf>
    <xf numFmtId="0" fontId="261" fillId="0" borderId="10" xfId="0" applyFont="1" applyBorder="1" applyAlignment="1">
      <alignment horizontal="center" vertical="center" wrapText="1"/>
      <protection locked="0"/>
    </xf>
    <xf numFmtId="0" fontId="262" fillId="0" borderId="10" xfId="0" applyFont="1" applyBorder="1" applyAlignment="1">
      <alignment vertical="center" wrapText="1"/>
      <protection locked="0"/>
    </xf>
    <xf numFmtId="10" fontId="263" fillId="0" borderId="10" xfId="0" applyNumberFormat="1" applyFont="1" applyBorder="1" applyAlignment="1">
      <alignment vertical="center" wrapText="1"/>
      <protection locked="0"/>
    </xf>
    <xf numFmtId="3" fontId="264" fillId="0" borderId="10" xfId="0" applyNumberFormat="1" applyFont="1" applyBorder="1" applyAlignment="1">
      <alignment vertical="center" wrapText="1"/>
      <protection locked="0"/>
    </xf>
    <xf numFmtId="3" fontId="265" fillId="0" borderId="10" xfId="0" applyNumberFormat="1" applyFont="1" applyBorder="1" applyAlignment="1">
      <alignment vertical="center" wrapText="1"/>
      <protection locked="0"/>
    </xf>
    <xf numFmtId="3" fontId="266" fillId="0" borderId="0" xfId="0" applyNumberFormat="1" applyFont="1" applyAlignment="1">
      <alignment vertical="center" wrapText="1"/>
      <protection locked="0"/>
    </xf>
    <xf numFmtId="0" fontId="267" fillId="0" borderId="9" xfId="0" applyFont="1" applyBorder="1" applyAlignment="1">
      <alignment horizontal="center" vertical="center" wrapText="1"/>
      <protection locked="0"/>
    </xf>
    <xf numFmtId="0" fontId="268" fillId="0" borderId="18" xfId="0" applyFont="1" applyBorder="1" applyAlignment="1">
      <alignment wrapText="1"/>
      <protection locked="0"/>
    </xf>
    <xf numFmtId="0" fontId="272" fillId="0" borderId="20" xfId="0" applyFont="1" applyBorder="1" applyAlignment="1">
      <alignment wrapText="1"/>
      <protection locked="0"/>
    </xf>
    <xf numFmtId="0" fontId="273" fillId="0" borderId="21" xfId="0" applyFont="1" applyBorder="1" applyAlignment="1">
      <alignment wrapText="1"/>
      <protection locked="0"/>
    </xf>
    <xf numFmtId="0" fontId="274" fillId="0" borderId="22" xfId="0" applyFont="1" applyBorder="1" applyAlignment="1">
      <alignment wrapText="1"/>
      <protection locked="0"/>
    </xf>
    <xf numFmtId="0" fontId="277" fillId="0" borderId="24" xfId="0" applyFont="1" applyBorder="1" applyAlignment="1">
      <alignment wrapText="1"/>
      <protection locked="0"/>
    </xf>
    <xf numFmtId="0" fontId="278" fillId="0" borderId="25" xfId="0" applyFont="1" applyBorder="1" applyAlignment="1">
      <alignment wrapText="1"/>
      <protection locked="0"/>
    </xf>
    <xf numFmtId="0" fontId="285" fillId="0" borderId="27" xfId="0" applyFont="1" applyBorder="1" applyAlignment="1">
      <alignment wrapText="1"/>
      <protection locked="0"/>
    </xf>
    <xf numFmtId="0" fontId="286" fillId="0" borderId="28" xfId="0" applyFont="1" applyBorder="1" applyAlignment="1">
      <alignment wrapText="1"/>
      <protection locked="0"/>
    </xf>
    <xf numFmtId="0" fontId="287" fillId="0" borderId="29" xfId="0" applyFont="1" applyBorder="1" applyAlignment="1">
      <alignment wrapText="1"/>
      <protection locked="0"/>
    </xf>
    <xf numFmtId="0" fontId="289" fillId="0" borderId="0" xfId="0" applyFont="1" applyAlignment="1">
      <alignment wrapText="1"/>
      <protection locked="0"/>
    </xf>
    <xf numFmtId="0" fontId="298" fillId="0" borderId="0" xfId="0" applyFont="1" applyAlignment="1">
      <alignment vertical="center" wrapText="1"/>
      <protection locked="0"/>
    </xf>
    <xf numFmtId="49" fontId="301" fillId="0" borderId="0" xfId="0" applyNumberFormat="1" applyFont="1" applyAlignment="1">
      <alignment horizontal="center" vertical="center" wrapText="1"/>
      <protection locked="0"/>
    </xf>
    <xf numFmtId="3" fontId="302" fillId="0" borderId="0" xfId="0" applyNumberFormat="1" applyFont="1" applyAlignment="1">
      <alignment horizontal="center" vertical="center" wrapText="1"/>
      <protection locked="0"/>
    </xf>
    <xf numFmtId="49" fontId="303" fillId="0" borderId="0" xfId="0" applyNumberFormat="1" applyFont="1" applyAlignment="1">
      <alignment vertical="center" wrapText="1"/>
      <protection locked="0"/>
    </xf>
    <xf numFmtId="49" fontId="304" fillId="0" borderId="0" xfId="0" applyNumberFormat="1" applyFont="1" applyAlignment="1">
      <alignment horizontal="center" vertical="center" wrapText="1"/>
      <protection locked="0"/>
    </xf>
    <xf numFmtId="171" fontId="305" fillId="0" borderId="0" xfId="0" applyNumberFormat="1" applyFont="1" applyAlignment="1">
      <alignment horizontal="center" vertical="center" wrapText="1"/>
      <protection locked="0"/>
    </xf>
    <xf numFmtId="49" fontId="306" fillId="0" borderId="7" xfId="0" applyNumberFormat="1" applyFont="1" applyBorder="1" applyAlignment="1">
      <alignment horizontal="center" vertical="center" wrapText="1"/>
      <protection locked="0"/>
    </xf>
    <xf numFmtId="49" fontId="307" fillId="0" borderId="9" xfId="0" applyNumberFormat="1" applyFont="1" applyBorder="1" applyAlignment="1">
      <alignment horizontal="center" vertical="center" wrapText="1"/>
      <protection locked="0"/>
    </xf>
    <xf numFmtId="0" fontId="308" fillId="0" borderId="0" xfId="0" applyFont="1" applyAlignment="1">
      <alignment vertical="center"/>
      <protection locked="0"/>
    </xf>
    <xf numFmtId="0" fontId="309" fillId="0" borderId="0" xfId="0" applyFont="1" applyAlignment="1">
      <alignment vertical="center" wrapText="1"/>
      <protection locked="0"/>
    </xf>
    <xf numFmtId="0" fontId="310" fillId="0" borderId="0" xfId="0" applyFont="1">
      <alignment vertical="top"/>
      <protection locked="0"/>
    </xf>
    <xf numFmtId="0" fontId="312" fillId="0" borderId="0" xfId="0" applyFont="1" applyAlignment="1">
      <alignment horizontal="center" vertical="top"/>
      <protection locked="0"/>
    </xf>
    <xf numFmtId="49" fontId="313" fillId="0" borderId="0" xfId="0" applyNumberFormat="1" applyFont="1" applyAlignment="1">
      <alignment vertical="center"/>
      <protection locked="0"/>
    </xf>
    <xf numFmtId="49" fontId="314" fillId="0" borderId="0" xfId="0" applyNumberFormat="1" applyFont="1" applyAlignment="1">
      <alignment horizontal="center" vertical="center"/>
      <protection locked="0"/>
    </xf>
    <xf numFmtId="0" fontId="315" fillId="0" borderId="0" xfId="0" applyFont="1">
      <alignment vertical="top"/>
      <protection locked="0"/>
    </xf>
    <xf numFmtId="0" fontId="151" fillId="0" borderId="0" xfId="0" applyFont="1" applyAlignment="1">
      <alignment horizontal="left" vertical="center" wrapText="1"/>
      <protection locked="0"/>
    </xf>
    <xf numFmtId="0" fontId="63" fillId="0" borderId="0" xfId="0" applyFont="1" applyAlignment="1">
      <alignment vertical="center" wrapText="1"/>
      <protection locked="0"/>
    </xf>
    <xf numFmtId="0" fontId="168" fillId="0" borderId="16" xfId="0" applyFont="1" applyBorder="1" applyAlignment="1">
      <alignment horizontal="center" vertical="center" wrapText="1"/>
      <protection locked="0"/>
    </xf>
    <xf numFmtId="0" fontId="169" fillId="0" borderId="13" xfId="0" applyFont="1" applyBorder="1" applyAlignment="1">
      <alignment vertical="center" wrapText="1"/>
      <protection locked="0"/>
    </xf>
    <xf numFmtId="0" fontId="170" fillId="0" borderId="13" xfId="0" applyFont="1" applyBorder="1" applyAlignment="1">
      <alignment horizontal="center" vertical="center" wrapText="1"/>
      <protection locked="0"/>
    </xf>
    <xf numFmtId="0" fontId="171" fillId="0" borderId="13" xfId="0" applyFont="1" applyBorder="1" applyAlignment="1">
      <alignment horizontal="center" vertical="center" wrapText="1"/>
      <protection locked="0"/>
    </xf>
    <xf numFmtId="3" fontId="172" fillId="0" borderId="10" xfId="0" applyNumberFormat="1" applyFont="1" applyBorder="1" applyAlignment="1">
      <alignment vertical="center" wrapText="1"/>
      <protection locked="0"/>
    </xf>
    <xf numFmtId="0" fontId="3" fillId="0" borderId="0" xfId="0" applyFont="1" applyAlignment="1">
      <alignment horizontal="center" vertical="center" wrapText="1"/>
      <protection locked="0"/>
    </xf>
    <xf numFmtId="0" fontId="53" fillId="0" borderId="0" xfId="0" applyFont="1" applyAlignment="1">
      <alignment horizontal="center" vertical="center" wrapText="1"/>
      <protection locked="0"/>
    </xf>
    <xf numFmtId="0" fontId="58" fillId="0" borderId="0" xfId="0" applyFont="1" applyAlignment="1">
      <alignment vertical="center" wrapText="1"/>
      <protection locked="0"/>
    </xf>
    <xf numFmtId="0" fontId="12" fillId="0" borderId="0" xfId="0" applyFont="1" applyAlignment="1">
      <alignment horizontal="center" vertical="center" wrapText="1"/>
      <protection locked="0"/>
    </xf>
    <xf numFmtId="0" fontId="20" fillId="0" borderId="0" xfId="0" applyFont="1" applyAlignment="1">
      <alignment horizontal="center" vertical="center" wrapText="1"/>
      <protection locked="0"/>
    </xf>
    <xf numFmtId="0" fontId="30" fillId="2" borderId="3" xfId="0" applyFont="1" applyFill="1" applyBorder="1" applyAlignment="1">
      <alignment horizontal="center" vertical="center" wrapText="1"/>
      <protection locked="0"/>
    </xf>
    <xf numFmtId="0" fontId="31" fillId="2" borderId="4" xfId="0" applyFont="1" applyFill="1" applyBorder="1" applyAlignment="1">
      <alignment horizontal="center" vertical="center" wrapText="1"/>
      <protection locked="0"/>
    </xf>
    <xf numFmtId="0" fontId="28" fillId="2" borderId="1" xfId="0" applyFont="1" applyFill="1" applyBorder="1" applyAlignment="1">
      <alignment horizontal="center" vertical="center" wrapText="1"/>
      <protection locked="0"/>
    </xf>
    <xf numFmtId="0" fontId="33" fillId="2" borderId="5" xfId="0" applyFont="1" applyFill="1" applyBorder="1" applyAlignment="1">
      <alignment horizontal="center" vertical="center" wrapText="1"/>
      <protection locked="0"/>
    </xf>
    <xf numFmtId="0" fontId="29" fillId="2" borderId="2" xfId="0" applyFont="1" applyFill="1" applyBorder="1" applyAlignment="1">
      <alignment horizontal="center" vertical="center" wrapText="1"/>
      <protection locked="0"/>
    </xf>
    <xf numFmtId="0" fontId="34" fillId="2" borderId="6" xfId="0" applyFont="1" applyFill="1" applyBorder="1" applyAlignment="1">
      <alignment horizontal="center" vertical="center" wrapText="1"/>
      <protection locked="0"/>
    </xf>
    <xf numFmtId="0" fontId="32" fillId="0" borderId="0" xfId="0" applyFont="1" applyAlignment="1" applyProtection="1">
      <alignment horizontal="center" vertical="center" wrapText="1"/>
    </xf>
    <xf numFmtId="0" fontId="4" fillId="0" borderId="0" xfId="0" applyFont="1" applyAlignment="1">
      <alignment vertical="center" wrapText="1"/>
      <protection locked="0"/>
    </xf>
    <xf numFmtId="164" fontId="5" fillId="0" borderId="0" xfId="0" applyNumberFormat="1" applyFont="1" applyAlignment="1">
      <alignment vertical="center" wrapText="1"/>
      <protection locked="0"/>
    </xf>
    <xf numFmtId="165" fontId="6" fillId="0" borderId="0" xfId="0" applyNumberFormat="1" applyFont="1" applyAlignment="1">
      <alignment vertical="center" wrapText="1"/>
      <protection locked="0"/>
    </xf>
    <xf numFmtId="0" fontId="21" fillId="0" borderId="0" xfId="0" applyFont="1" applyAlignment="1">
      <alignment vertical="center" wrapText="1"/>
      <protection locked="0"/>
    </xf>
    <xf numFmtId="164" fontId="22" fillId="0" borderId="0" xfId="0" applyNumberFormat="1" applyFont="1" applyAlignment="1">
      <alignment vertical="center" wrapText="1"/>
      <protection locked="0"/>
    </xf>
    <xf numFmtId="165" fontId="23" fillId="0" borderId="0" xfId="0" applyNumberFormat="1" applyFont="1" applyAlignment="1">
      <alignment vertical="center" wrapText="1"/>
      <protection locked="0"/>
    </xf>
    <xf numFmtId="0" fontId="13" fillId="0" borderId="0" xfId="0" applyFont="1" applyAlignment="1">
      <alignment vertical="center" wrapText="1"/>
      <protection locked="0"/>
    </xf>
    <xf numFmtId="164" fontId="14" fillId="0" borderId="0" xfId="0" applyNumberFormat="1" applyFont="1" applyAlignment="1">
      <alignment vertical="center" wrapText="1"/>
      <protection locked="0"/>
    </xf>
    <xf numFmtId="165" fontId="15" fillId="0" borderId="0" xfId="0" applyNumberFormat="1" applyFont="1" applyAlignment="1">
      <alignment vertical="center" wrapText="1"/>
      <protection locked="0"/>
    </xf>
    <xf numFmtId="1" fontId="88" fillId="0" borderId="0" xfId="0" applyNumberFormat="1" applyFont="1" applyAlignment="1">
      <alignment vertical="center"/>
      <protection locked="0"/>
    </xf>
    <xf numFmtId="0" fontId="79" fillId="0" borderId="0" xfId="0" applyFont="1" applyAlignment="1">
      <alignment horizontal="center" wrapText="1"/>
      <protection locked="0"/>
    </xf>
    <xf numFmtId="0" fontId="78" fillId="0" borderId="0" xfId="0" applyFont="1" applyAlignment="1">
      <alignment horizontal="center" wrapText="1"/>
      <protection locked="0"/>
    </xf>
    <xf numFmtId="49" fontId="80" fillId="0" borderId="12" xfId="0" applyNumberFormat="1" applyFont="1" applyBorder="1" applyAlignment="1">
      <alignment vertical="center" wrapText="1"/>
      <protection locked="0"/>
    </xf>
    <xf numFmtId="0" fontId="37" fillId="0" borderId="8" xfId="0" applyFont="1" applyBorder="1" applyAlignment="1">
      <alignment vertical="center" wrapText="1"/>
      <protection locked="0"/>
    </xf>
    <xf numFmtId="49" fontId="82" fillId="0" borderId="13" xfId="0" applyNumberFormat="1" applyFont="1" applyBorder="1" applyAlignment="1">
      <alignment vertical="center" wrapText="1"/>
      <protection locked="0"/>
    </xf>
    <xf numFmtId="0" fontId="49" fillId="0" borderId="10" xfId="0" applyFont="1" applyBorder="1" applyAlignment="1">
      <alignment vertical="center" wrapText="1"/>
      <protection locked="0"/>
    </xf>
    <xf numFmtId="0" fontId="94" fillId="0" borderId="0" xfId="0" applyFont="1" applyAlignment="1">
      <alignment horizontal="center" vertical="center" wrapText="1"/>
      <protection locked="0"/>
    </xf>
    <xf numFmtId="0" fontId="95" fillId="0" borderId="0" xfId="0" applyFont="1" applyAlignment="1">
      <alignment horizontal="right" wrapText="1"/>
      <protection locked="0"/>
    </xf>
    <xf numFmtId="0" fontId="96" fillId="2" borderId="14" xfId="0" applyFont="1" applyFill="1" applyBorder="1" applyAlignment="1">
      <alignment horizontal="center" vertical="center" wrapText="1"/>
      <protection locked="0"/>
    </xf>
    <xf numFmtId="0" fontId="97" fillId="2" borderId="15" xfId="0" applyFont="1" applyFill="1" applyBorder="1" applyAlignment="1">
      <alignment horizontal="center" vertical="center" wrapText="1"/>
      <protection locked="0"/>
    </xf>
    <xf numFmtId="0" fontId="174" fillId="0" borderId="13" xfId="0" applyFont="1" applyBorder="1" applyAlignment="1">
      <alignment vertical="center" wrapText="1"/>
      <protection locked="0"/>
    </xf>
    <xf numFmtId="49" fontId="191" fillId="0" borderId="16" xfId="0" applyNumberFormat="1" applyFont="1" applyBorder="1" applyAlignment="1">
      <alignment horizontal="center" vertical="center" wrapText="1"/>
      <protection locked="0"/>
    </xf>
    <xf numFmtId="49" fontId="192" fillId="0" borderId="13" xfId="0" applyNumberFormat="1" applyFont="1" applyBorder="1" applyAlignment="1">
      <alignment vertical="center" wrapText="1"/>
      <protection locked="0"/>
    </xf>
    <xf numFmtId="0" fontId="193" fillId="0" borderId="10" xfId="0" applyFont="1" applyBorder="1" applyAlignment="1">
      <alignment horizontal="left" vertical="center" wrapText="1"/>
      <protection locked="0"/>
    </xf>
    <xf numFmtId="49" fontId="175" fillId="0" borderId="0" xfId="0" applyNumberFormat="1" applyFont="1" applyAlignment="1">
      <alignment horizontal="center" vertical="center" wrapText="1"/>
      <protection locked="0"/>
    </xf>
    <xf numFmtId="49" fontId="195" fillId="0" borderId="0" xfId="0" applyNumberFormat="1" applyFont="1" applyAlignment="1">
      <alignment vertical="center" wrapText="1"/>
      <protection locked="0"/>
    </xf>
    <xf numFmtId="0" fontId="54" fillId="0" borderId="0" xfId="0" applyFont="1" applyAlignment="1">
      <alignment horizontal="left" vertical="center" wrapText="1"/>
      <protection locked="0"/>
    </xf>
    <xf numFmtId="0" fontId="176" fillId="2" borderId="5" xfId="0" applyFont="1" applyFill="1" applyBorder="1" applyAlignment="1">
      <alignment horizontal="center" vertical="center" wrapText="1"/>
      <protection locked="0"/>
    </xf>
    <xf numFmtId="0" fontId="177" fillId="2" borderId="6" xfId="0" applyFont="1" applyFill="1" applyBorder="1" applyAlignment="1">
      <alignment horizontal="center" vertical="center" wrapText="1"/>
      <protection locked="0"/>
    </xf>
    <xf numFmtId="3" fontId="209" fillId="0" borderId="13" xfId="0" applyNumberFormat="1" applyFont="1" applyBorder="1" applyAlignment="1">
      <alignment wrapText="1"/>
      <protection locked="0"/>
    </xf>
    <xf numFmtId="49" fontId="203" fillId="2" borderId="1" xfId="0" applyNumberFormat="1" applyFont="1" applyFill="1" applyBorder="1" applyAlignment="1">
      <alignment horizontal="center" vertical="center" wrapText="1"/>
      <protection locked="0"/>
    </xf>
    <xf numFmtId="49" fontId="205" fillId="2" borderId="5" xfId="0" applyNumberFormat="1" applyFont="1" applyFill="1" applyBorder="1" applyAlignment="1">
      <alignment horizontal="center" vertical="center" wrapText="1"/>
      <protection locked="0"/>
    </xf>
    <xf numFmtId="49" fontId="204" fillId="2" borderId="2" xfId="0" applyNumberFormat="1" applyFont="1" applyFill="1" applyBorder="1" applyAlignment="1">
      <alignment horizontal="center" vertical="center" wrapText="1"/>
      <protection locked="0"/>
    </xf>
    <xf numFmtId="49" fontId="206" fillId="2" borderId="6" xfId="0" applyNumberFormat="1" applyFont="1" applyFill="1" applyBorder="1" applyAlignment="1">
      <alignment horizontal="center" vertical="center" wrapText="1"/>
      <protection locked="0"/>
    </xf>
    <xf numFmtId="0" fontId="207" fillId="0" borderId="16" xfId="0" applyFont="1" applyBorder="1" applyAlignment="1">
      <alignment horizontal="center" wrapText="1"/>
      <protection locked="0"/>
    </xf>
    <xf numFmtId="166" fontId="200" fillId="0" borderId="17" xfId="0" applyNumberFormat="1" applyFont="1" applyBorder="1" applyAlignment="1">
      <alignment horizontal="center" wrapText="1"/>
      <protection locked="0"/>
    </xf>
    <xf numFmtId="166" fontId="201" fillId="0" borderId="17" xfId="0" applyNumberFormat="1" applyFont="1" applyBorder="1" applyAlignment="1">
      <alignment vertical="center" wrapText="1"/>
      <protection locked="0"/>
    </xf>
    <xf numFmtId="166" fontId="70" fillId="0" borderId="8" xfId="0" applyNumberFormat="1" applyFont="1" applyBorder="1" applyAlignment="1">
      <alignment vertical="center" wrapText="1"/>
      <protection locked="0"/>
    </xf>
    <xf numFmtId="0" fontId="251" fillId="0" borderId="0" xfId="0" applyFont="1" applyAlignment="1" applyProtection="1">
      <alignment vertical="center" wrapText="1"/>
    </xf>
    <xf numFmtId="0" fontId="211" fillId="0" borderId="0" xfId="0" applyFont="1" applyAlignment="1" applyProtection="1">
      <alignment horizontal="center" vertical="center" wrapText="1"/>
    </xf>
    <xf numFmtId="0" fontId="249" fillId="0" borderId="13" xfId="0" applyFont="1" applyBorder="1" applyAlignment="1" applyProtection="1">
      <alignment vertical="center" wrapText="1"/>
    </xf>
    <xf numFmtId="0" fontId="250" fillId="0" borderId="10" xfId="0" applyFont="1" applyBorder="1" applyAlignment="1">
      <alignment vertical="center" wrapText="1"/>
      <protection locked="0"/>
    </xf>
    <xf numFmtId="0" fontId="210" fillId="0" borderId="0" xfId="0" applyFont="1" applyAlignment="1">
      <alignment horizontal="right" wrapText="1"/>
      <protection locked="0"/>
    </xf>
    <xf numFmtId="0" fontId="254" fillId="0" borderId="0" xfId="0" applyFont="1" applyAlignment="1">
      <alignment horizontal="left" vertical="center" wrapText="1"/>
      <protection locked="0"/>
    </xf>
    <xf numFmtId="0" fontId="255" fillId="0" borderId="0" xfId="0" applyFont="1" applyAlignment="1">
      <alignment horizontal="center" wrapText="1"/>
      <protection locked="0"/>
    </xf>
    <xf numFmtId="0" fontId="212" fillId="0" borderId="0" xfId="0" applyFont="1" applyAlignment="1">
      <alignment horizontal="center" vertical="center" wrapText="1"/>
      <protection locked="0"/>
    </xf>
    <xf numFmtId="0" fontId="256" fillId="2" borderId="0" xfId="0" applyFont="1" applyFill="1" applyAlignment="1">
      <alignment horizontal="center" vertical="center" wrapText="1"/>
      <protection locked="0"/>
    </xf>
    <xf numFmtId="0" fontId="289" fillId="0" borderId="0" xfId="0" applyFont="1" applyAlignment="1">
      <alignment wrapText="1"/>
      <protection locked="0"/>
    </xf>
    <xf numFmtId="0" fontId="291" fillId="0" borderId="0" xfId="0" applyFont="1" applyAlignment="1">
      <alignment wrapText="1"/>
      <protection locked="0"/>
    </xf>
    <xf numFmtId="0" fontId="295" fillId="0" borderId="0" xfId="0" applyFont="1" applyAlignment="1">
      <alignment horizontal="left" vertical="center" wrapText="1"/>
      <protection locked="0"/>
    </xf>
    <xf numFmtId="3" fontId="296" fillId="0" borderId="0" xfId="0" applyNumberFormat="1" applyFont="1" applyAlignment="1">
      <alignment horizontal="center" vertical="center" wrapText="1"/>
      <protection locked="0"/>
    </xf>
    <xf numFmtId="0" fontId="297" fillId="0" borderId="0" xfId="0" applyFont="1" applyAlignment="1">
      <alignment horizontal="center" vertical="center" wrapText="1"/>
      <protection locked="0"/>
    </xf>
    <xf numFmtId="49" fontId="299" fillId="0" borderId="0" xfId="0" applyNumberFormat="1" applyFont="1" applyAlignment="1">
      <alignment horizontal="center" vertical="center" wrapText="1"/>
      <protection locked="0"/>
    </xf>
    <xf numFmtId="0" fontId="300" fillId="0" borderId="0" xfId="0" applyFont="1" applyAlignment="1">
      <alignment horizontal="center" vertical="center" wrapText="1"/>
      <protection locked="0"/>
    </xf>
    <xf numFmtId="0" fontId="293" fillId="0" borderId="0" xfId="0" applyFont="1" applyAlignment="1">
      <alignment horizontal="left" vertical="center" wrapText="1"/>
      <protection locked="0"/>
    </xf>
    <xf numFmtId="0" fontId="294" fillId="0" borderId="0" xfId="0" applyFont="1" applyAlignment="1">
      <alignment horizontal="left" wrapText="1"/>
      <protection locked="0"/>
    </xf>
    <xf numFmtId="0" fontId="292" fillId="0" borderId="0" xfId="0" applyFont="1" applyAlignment="1">
      <alignment wrapText="1"/>
      <protection locked="0"/>
    </xf>
    <xf numFmtId="0" fontId="290" fillId="0" borderId="0" xfId="0" applyFont="1" applyAlignment="1">
      <alignment horizontal="left" vertical="center" wrapText="1"/>
      <protection locked="0"/>
    </xf>
    <xf numFmtId="0" fontId="288" fillId="0" borderId="0" xfId="0" applyFont="1" applyAlignment="1">
      <alignment horizontal="center" vertical="center" wrapText="1"/>
      <protection locked="0"/>
    </xf>
    <xf numFmtId="0" fontId="281" fillId="0" borderId="23" xfId="0" applyFont="1" applyBorder="1" applyAlignment="1">
      <alignment vertical="center" wrapText="1"/>
      <protection locked="0"/>
    </xf>
    <xf numFmtId="0" fontId="282" fillId="0" borderId="23" xfId="0" applyFont="1" applyBorder="1" applyAlignment="1">
      <alignment vertical="center" wrapText="1"/>
      <protection locked="0"/>
    </xf>
    <xf numFmtId="0" fontId="283" fillId="0" borderId="26" xfId="0" applyFont="1" applyBorder="1" applyAlignment="1">
      <alignment vertical="center" wrapText="1"/>
      <protection locked="0"/>
    </xf>
    <xf numFmtId="0" fontId="284" fillId="0" borderId="23" xfId="0" applyFont="1" applyBorder="1" applyAlignment="1">
      <alignment horizontal="center" vertical="center" wrapText="1"/>
      <protection locked="0"/>
    </xf>
    <xf numFmtId="49" fontId="269" fillId="0" borderId="19" xfId="0" applyNumberFormat="1" applyFont="1" applyBorder="1" applyAlignment="1">
      <alignment horizontal="center" vertical="top" wrapText="1"/>
      <protection locked="0"/>
    </xf>
    <xf numFmtId="0" fontId="270" fillId="0" borderId="19" xfId="0" applyFont="1" applyBorder="1" applyAlignment="1">
      <alignment horizontal="center" vertical="top" wrapText="1"/>
      <protection locked="0"/>
    </xf>
    <xf numFmtId="0" fontId="275" fillId="0" borderId="23" xfId="0" applyFont="1" applyBorder="1" applyAlignment="1">
      <alignment horizontal="center" vertical="top" wrapText="1"/>
      <protection locked="0"/>
    </xf>
    <xf numFmtId="0" fontId="271" fillId="0" borderId="19" xfId="0" applyFont="1" applyBorder="1" applyAlignment="1">
      <alignment horizontal="center" vertical="center" wrapText="1"/>
      <protection locked="0"/>
    </xf>
    <xf numFmtId="0" fontId="276" fillId="0" borderId="23" xfId="0" applyFont="1" applyBorder="1" applyAlignment="1">
      <alignment horizontal="center" vertical="center" wrapText="1"/>
      <protection locked="0"/>
    </xf>
    <xf numFmtId="0" fontId="279" fillId="0" borderId="23" xfId="0" applyFont="1" applyBorder="1" applyAlignment="1">
      <alignment horizontal="center" vertical="center" wrapText="1"/>
      <protection locked="0"/>
    </xf>
    <xf numFmtId="0" fontId="280" fillId="0" borderId="23" xfId="0" applyFont="1" applyBorder="1" applyAlignment="1">
      <alignment horizontal="center" vertical="center" wrapText="1"/>
      <protection locked="0"/>
    </xf>
    <xf numFmtId="0" fontId="310" fillId="0" borderId="0" xfId="0" applyFont="1">
      <alignment vertical="top"/>
      <protection locked="0"/>
    </xf>
    <xf numFmtId="0" fontId="311" fillId="0" borderId="0" xfId="0" applyFont="1" applyAlignment="1">
      <alignment horizontal="left" vertical="top"/>
      <protection locked="0"/>
    </xf>
    <xf numFmtId="0" fontId="129" fillId="4" borderId="7" xfId="0" applyFont="1" applyFill="1" applyBorder="1" applyAlignment="1">
      <alignment horizontal="center" vertical="center" wrapText="1"/>
      <protection locked="0"/>
    </xf>
    <xf numFmtId="0" fontId="37" fillId="4" borderId="8" xfId="0" applyFont="1" applyFill="1" applyBorder="1" applyAlignment="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workbookViewId="0">
      <selection activeCell="B4" sqref="B1:B1048576"/>
    </sheetView>
  </sheetViews>
  <sheetFormatPr defaultColWidth="10" defaultRowHeight="15" customHeight="1" x14ac:dyDescent="0.15"/>
  <cols>
    <col min="1" max="1" width="6.6640625" style="51" customWidth="1"/>
    <col min="2" max="2" width="71.6640625" style="51" customWidth="1"/>
    <col min="3" max="3" width="10" style="51" hidden="1" customWidth="1"/>
    <col min="4" max="4" width="36.6640625" style="51" customWidth="1"/>
    <col min="5" max="7" width="10" style="51" hidden="1" customWidth="1"/>
    <col min="8" max="8" width="25" style="51" customWidth="1"/>
    <col min="9" max="9" width="13.33203125" style="51" customWidth="1"/>
    <col min="10" max="11" width="10" style="51" customWidth="1"/>
    <col min="12" max="16384" width="10" style="51"/>
  </cols>
  <sheetData>
    <row r="1" spans="1:9" ht="26.25" customHeight="1" x14ac:dyDescent="0.15">
      <c r="A1" s="258" t="s">
        <v>223</v>
      </c>
      <c r="B1" s="252"/>
      <c r="C1" s="252"/>
      <c r="D1" s="252"/>
      <c r="E1" s="252"/>
      <c r="F1" s="252"/>
      <c r="G1" s="252"/>
      <c r="H1" s="252"/>
      <c r="I1" s="252"/>
    </row>
    <row r="2" spans="1:9" ht="32.25" customHeight="1" x14ac:dyDescent="0.15">
      <c r="A2" s="251" t="s">
        <v>224</v>
      </c>
      <c r="B2" s="252"/>
      <c r="C2" s="252"/>
      <c r="D2" s="252"/>
      <c r="E2" s="252"/>
      <c r="F2" s="252"/>
      <c r="G2" s="252"/>
      <c r="H2" s="252"/>
      <c r="I2" s="252"/>
    </row>
    <row r="3" spans="1:9" ht="18.75" customHeight="1" x14ac:dyDescent="0.15">
      <c r="A3" s="251" t="s">
        <v>225</v>
      </c>
      <c r="B3" s="252"/>
      <c r="C3" s="252"/>
      <c r="D3" s="252"/>
      <c r="E3" s="252"/>
      <c r="F3" s="252"/>
      <c r="G3" s="252"/>
      <c r="H3" s="252"/>
      <c r="I3" s="252"/>
    </row>
    <row r="4" spans="1:9" ht="30" customHeight="1" x14ac:dyDescent="0.15">
      <c r="A4" s="52" t="s">
        <v>4</v>
      </c>
      <c r="B4" s="19" t="s">
        <v>226</v>
      </c>
      <c r="C4" s="19"/>
      <c r="D4" s="19" t="s">
        <v>227</v>
      </c>
      <c r="E4" s="19"/>
      <c r="F4" s="19"/>
      <c r="G4" s="19" t="s">
        <v>228</v>
      </c>
      <c r="H4" s="19" t="str">
        <f>"GIÁ TRỊ
"&amp;'Công trình'!AM1</f>
        <v>GIÁ TRỊ
(đ)</v>
      </c>
      <c r="I4" s="19" t="s">
        <v>229</v>
      </c>
    </row>
    <row r="5" spans="1:9" ht="15.75" customHeight="1" x14ac:dyDescent="0.15">
      <c r="A5" s="342" t="s">
        <v>70</v>
      </c>
      <c r="B5" s="343" t="s">
        <v>230</v>
      </c>
      <c r="C5" s="25"/>
      <c r="D5" s="28" t="s">
        <v>231</v>
      </c>
      <c r="E5" s="25"/>
      <c r="F5" s="25"/>
      <c r="G5" s="28"/>
      <c r="H5" s="82">
        <f>H6+H8+H10</f>
        <v>843094623.97440004</v>
      </c>
      <c r="I5" s="28" t="s">
        <v>232</v>
      </c>
    </row>
    <row r="6" spans="1:9" ht="15.75" customHeight="1" x14ac:dyDescent="0.15">
      <c r="A6" s="131" t="s">
        <v>233</v>
      </c>
      <c r="B6" s="132" t="s">
        <v>234</v>
      </c>
      <c r="C6" s="132"/>
      <c r="D6" s="28" t="str">
        <f>I7</f>
        <v>A1</v>
      </c>
      <c r="E6" s="132"/>
      <c r="F6" s="132"/>
      <c r="G6" s="133"/>
      <c r="H6" s="134">
        <f>H7</f>
        <v>3540813.696</v>
      </c>
      <c r="I6" s="133" t="s">
        <v>236</v>
      </c>
    </row>
    <row r="7" spans="1:9" ht="15.75" customHeight="1" x14ac:dyDescent="0.15">
      <c r="A7" s="109"/>
      <c r="B7" s="25" t="s">
        <v>237</v>
      </c>
      <c r="C7" s="25"/>
      <c r="D7" s="28" t="s">
        <v>238</v>
      </c>
      <c r="E7" s="25"/>
      <c r="F7" s="25"/>
      <c r="G7" s="28"/>
      <c r="H7" s="82">
        <f>'Giá tổng hợp'!I7</f>
        <v>3540813.696</v>
      </c>
      <c r="I7" s="28" t="s">
        <v>235</v>
      </c>
    </row>
    <row r="8" spans="1:9" ht="15.75" customHeight="1" x14ac:dyDescent="0.15">
      <c r="A8" s="131" t="s">
        <v>239</v>
      </c>
      <c r="B8" s="132" t="s">
        <v>240</v>
      </c>
      <c r="C8" s="132"/>
      <c r="D8" s="28" t="str">
        <f>I9</f>
        <v>B1</v>
      </c>
      <c r="E8" s="132"/>
      <c r="F8" s="132"/>
      <c r="G8" s="133"/>
      <c r="H8" s="134">
        <f>H9</f>
        <v>683766720</v>
      </c>
      <c r="I8" s="133" t="s">
        <v>242</v>
      </c>
    </row>
    <row r="9" spans="1:9" ht="15.75" customHeight="1" x14ac:dyDescent="0.15">
      <c r="A9" s="109"/>
      <c r="B9" s="25" t="s">
        <v>237</v>
      </c>
      <c r="C9" s="25"/>
      <c r="D9" s="28" t="s">
        <v>238</v>
      </c>
      <c r="E9" s="25"/>
      <c r="F9" s="25"/>
      <c r="G9" s="28"/>
      <c r="H9" s="82">
        <f>'Giá tổng hợp'!J7</f>
        <v>683766720</v>
      </c>
      <c r="I9" s="28" t="s">
        <v>241</v>
      </c>
    </row>
    <row r="10" spans="1:9" ht="15.75" customHeight="1" x14ac:dyDescent="0.15">
      <c r="A10" s="131" t="s">
        <v>243</v>
      </c>
      <c r="B10" s="132" t="s">
        <v>244</v>
      </c>
      <c r="C10" s="132"/>
      <c r="D10" s="28" t="str">
        <f>I11</f>
        <v>C1</v>
      </c>
      <c r="E10" s="132"/>
      <c r="F10" s="132"/>
      <c r="G10" s="133"/>
      <c r="H10" s="134">
        <f>H11</f>
        <v>155787090.2784</v>
      </c>
      <c r="I10" s="133" t="s">
        <v>246</v>
      </c>
    </row>
    <row r="11" spans="1:9" ht="15.75" customHeight="1" x14ac:dyDescent="0.15">
      <c r="A11" s="109"/>
      <c r="B11" s="25" t="s">
        <v>237</v>
      </c>
      <c r="C11" s="25"/>
      <c r="D11" s="28" t="s">
        <v>238</v>
      </c>
      <c r="E11" s="25"/>
      <c r="F11" s="25"/>
      <c r="G11" s="28"/>
      <c r="H11" s="82">
        <f>'Giá tổng hợp'!K7</f>
        <v>155787090.2784</v>
      </c>
      <c r="I11" s="28" t="s">
        <v>245</v>
      </c>
    </row>
    <row r="12" spans="1:9" ht="15.75" hidden="1" customHeight="1" x14ac:dyDescent="0.15">
      <c r="A12" s="135" t="str">
        <f>""</f>
        <v/>
      </c>
      <c r="B12" s="89" t="s">
        <v>248</v>
      </c>
      <c r="C12" s="89"/>
      <c r="D12" s="28"/>
      <c r="E12" s="89"/>
      <c r="F12" s="89"/>
      <c r="G12" s="136"/>
      <c r="H12" s="93"/>
      <c r="I12" s="88"/>
    </row>
    <row r="13" spans="1:9" ht="15.75" customHeight="1" x14ac:dyDescent="0.15">
      <c r="A13" s="342" t="s">
        <v>85</v>
      </c>
      <c r="B13" s="343" t="s">
        <v>249</v>
      </c>
      <c r="C13" s="25"/>
      <c r="D13" s="28" t="s">
        <v>250</v>
      </c>
      <c r="E13" s="25"/>
      <c r="F13" s="25"/>
      <c r="G13" s="137"/>
      <c r="H13" s="82">
        <f>SUM(H14:H15)</f>
        <v>529222381.43846393</v>
      </c>
      <c r="I13" s="28" t="s">
        <v>251</v>
      </c>
    </row>
    <row r="14" spans="1:9" ht="15.75" customHeight="1" x14ac:dyDescent="0.15">
      <c r="A14" s="109" t="s">
        <v>233</v>
      </c>
      <c r="B14" s="25" t="s">
        <v>252</v>
      </c>
      <c r="C14" s="25"/>
      <c r="D14" s="28" t="str">
        <f>"NC x "&amp;HSXL!C$14</f>
        <v>NC x 70%</v>
      </c>
      <c r="E14" s="25"/>
      <c r="F14" s="25"/>
      <c r="G14" s="137" t="str">
        <f>HSXL!C$14</f>
        <v>70%</v>
      </c>
      <c r="H14" s="82">
        <f>H8*HSXL!D$14</f>
        <v>478636703.99999994</v>
      </c>
      <c r="I14" s="28" t="s">
        <v>253</v>
      </c>
    </row>
    <row r="15" spans="1:9" ht="28.5" customHeight="1" x14ac:dyDescent="0.15">
      <c r="A15" s="109" t="s">
        <v>239</v>
      </c>
      <c r="B15" s="25" t="s">
        <v>254</v>
      </c>
      <c r="C15" s="25"/>
      <c r="D15" s="28" t="str">
        <f>"T x "&amp;HSXL!C$13</f>
        <v>T x 6%</v>
      </c>
      <c r="E15" s="25"/>
      <c r="F15" s="25"/>
      <c r="G15" s="137" t="str">
        <f>HSXL!C$13</f>
        <v>6%</v>
      </c>
      <c r="H15" s="82">
        <f>H5*HSXL!D$13</f>
        <v>50585677.438464001</v>
      </c>
      <c r="I15" s="28" t="s">
        <v>255</v>
      </c>
    </row>
    <row r="16" spans="1:9" ht="15.75" customHeight="1" x14ac:dyDescent="0.15">
      <c r="A16" s="342" t="s">
        <v>96</v>
      </c>
      <c r="B16" s="343" t="s">
        <v>256</v>
      </c>
      <c r="C16" s="25"/>
      <c r="D16" s="28" t="str">
        <f>"(T+GT) x "&amp;HSXL!C$16</f>
        <v>(T+GT) x 6%</v>
      </c>
      <c r="E16" s="25"/>
      <c r="F16" s="25"/>
      <c r="G16" s="137" t="str">
        <f>HSXL!C$16</f>
        <v>6%</v>
      </c>
      <c r="H16" s="82">
        <f>(H5+H13)*HSXL!D$16</f>
        <v>82339020.324771836</v>
      </c>
      <c r="I16" s="28" t="s">
        <v>257</v>
      </c>
    </row>
    <row r="17" spans="1:9" ht="15.75" customHeight="1" x14ac:dyDescent="0.15">
      <c r="A17" s="342" t="s">
        <v>258</v>
      </c>
      <c r="B17" s="343" t="s">
        <v>259</v>
      </c>
      <c r="C17" s="25"/>
      <c r="D17" s="28" t="str">
        <f>""</f>
        <v/>
      </c>
      <c r="E17" s="25"/>
      <c r="F17" s="25"/>
      <c r="G17" s="137"/>
      <c r="H17" s="82">
        <f>H20</f>
        <v>72732801.28688179</v>
      </c>
      <c r="I17" s="28" t="s">
        <v>260</v>
      </c>
    </row>
    <row r="18" spans="1:9" ht="15.75" customHeight="1" x14ac:dyDescent="0.15">
      <c r="A18" s="109" t="s">
        <v>233</v>
      </c>
      <c r="B18" s="25" t="s">
        <v>261</v>
      </c>
      <c r="C18" s="25"/>
      <c r="D18" s="28" t="s">
        <v>262</v>
      </c>
      <c r="E18" s="25"/>
      <c r="F18" s="25"/>
      <c r="G18" s="137"/>
      <c r="H18" s="82">
        <f>(H5+H13+H16)*2%</f>
        <v>29093120.514752716</v>
      </c>
      <c r="I18" s="28" t="s">
        <v>263</v>
      </c>
    </row>
    <row r="19" spans="1:9" ht="15.75" customHeight="1" x14ac:dyDescent="0.15">
      <c r="A19" s="109" t="s">
        <v>239</v>
      </c>
      <c r="B19" s="25" t="s">
        <v>264</v>
      </c>
      <c r="C19" s="25"/>
      <c r="D19" s="28" t="s">
        <v>265</v>
      </c>
      <c r="E19" s="25"/>
      <c r="F19" s="25"/>
      <c r="G19" s="137"/>
      <c r="H19" s="82">
        <f>(H5+H13+H16)*3%</f>
        <v>43639680.772129074</v>
      </c>
      <c r="I19" s="28" t="s">
        <v>266</v>
      </c>
    </row>
    <row r="20" spans="1:9" ht="15.75" customHeight="1" x14ac:dyDescent="0.15">
      <c r="A20" s="135" t="str">
        <f>""</f>
        <v/>
      </c>
      <c r="B20" s="89" t="s">
        <v>267</v>
      </c>
      <c r="C20" s="89"/>
      <c r="D20" s="28" t="s">
        <v>268</v>
      </c>
      <c r="E20" s="89"/>
      <c r="F20" s="89"/>
      <c r="G20" s="136"/>
      <c r="H20" s="93">
        <f>SUM(H18:H19)</f>
        <v>72732801.28688179</v>
      </c>
      <c r="I20" s="88" t="str">
        <f>""</f>
        <v/>
      </c>
    </row>
    <row r="21" spans="1:9" ht="15.75" customHeight="1" x14ac:dyDescent="0.15">
      <c r="A21" s="109" t="str">
        <f>""</f>
        <v/>
      </c>
      <c r="B21" s="25" t="s">
        <v>269</v>
      </c>
      <c r="C21" s="25"/>
      <c r="D21" s="28" t="s">
        <v>270</v>
      </c>
      <c r="E21" s="25"/>
      <c r="F21" s="25"/>
      <c r="G21" s="137"/>
      <c r="H21" s="82">
        <f>H5+H13+H16+H20</f>
        <v>1527388827.0245175</v>
      </c>
      <c r="I21" s="28" t="s">
        <v>271</v>
      </c>
    </row>
    <row r="22" spans="1:9" ht="15.75" customHeight="1" x14ac:dyDescent="0.15">
      <c r="A22" s="109" t="s">
        <v>272</v>
      </c>
      <c r="B22" s="25" t="s">
        <v>273</v>
      </c>
      <c r="C22" s="25"/>
      <c r="D22" s="28" t="str">
        <f>"G x "&amp;HSXL!C$17</f>
        <v>G x 10%</v>
      </c>
      <c r="E22" s="138">
        <f>G22</f>
        <v>0.1</v>
      </c>
      <c r="F22" s="25"/>
      <c r="G22" s="139">
        <f>HSXL!D$17</f>
        <v>0.1</v>
      </c>
      <c r="H22" s="82">
        <f>E22*H21</f>
        <v>152738882.70245177</v>
      </c>
      <c r="I22" s="28" t="s">
        <v>274</v>
      </c>
    </row>
    <row r="23" spans="1:9" ht="15.75" customHeight="1" x14ac:dyDescent="0.15">
      <c r="A23" s="109" t="str">
        <f>""</f>
        <v/>
      </c>
      <c r="B23" s="25" t="s">
        <v>275</v>
      </c>
      <c r="C23" s="25"/>
      <c r="D23" s="28" t="s">
        <v>276</v>
      </c>
      <c r="E23" s="101"/>
      <c r="F23" s="25"/>
      <c r="G23" s="102"/>
      <c r="H23" s="82">
        <f>H21+H22</f>
        <v>1680127709.7269692</v>
      </c>
      <c r="I23" s="28" t="s">
        <v>277</v>
      </c>
    </row>
    <row r="24" spans="1:9" ht="15.75" customHeight="1" x14ac:dyDescent="0.15">
      <c r="A24" s="109" t="s">
        <v>278</v>
      </c>
      <c r="B24" s="25" t="s">
        <v>279</v>
      </c>
      <c r="C24" s="25"/>
      <c r="D24" s="28" t="str">
        <f>"Gks x "&amp;HSXL!C$18</f>
        <v>Gks x 2%</v>
      </c>
      <c r="E24" s="101">
        <f>G24</f>
        <v>0.02</v>
      </c>
      <c r="F24" s="25"/>
      <c r="G24" s="102">
        <f>HSXL!D$18</f>
        <v>0.02</v>
      </c>
      <c r="H24" s="82">
        <f>E24*H23</f>
        <v>33602554.194539383</v>
      </c>
      <c r="I24" s="28" t="s">
        <v>280</v>
      </c>
    </row>
    <row r="25" spans="1:9" ht="15.75" customHeight="1" x14ac:dyDescent="0.15">
      <c r="A25" s="109" t="s">
        <v>281</v>
      </c>
      <c r="B25" s="25" t="s">
        <v>282</v>
      </c>
      <c r="C25" s="25"/>
      <c r="D25" s="28" t="s">
        <v>283</v>
      </c>
      <c r="E25" s="101"/>
      <c r="F25" s="25"/>
      <c r="G25" s="102"/>
      <c r="H25" s="82">
        <f>E25*H23</f>
        <v>0</v>
      </c>
      <c r="I25" s="28" t="s">
        <v>284</v>
      </c>
    </row>
    <row r="26" spans="1:9" ht="15.75" customHeight="1" x14ac:dyDescent="0.15">
      <c r="A26" s="135" t="str">
        <f>""</f>
        <v/>
      </c>
      <c r="B26" s="89" t="s">
        <v>285</v>
      </c>
      <c r="C26" s="89"/>
      <c r="D26" s="28" t="str">
        <f>""</f>
        <v/>
      </c>
      <c r="E26" s="140"/>
      <c r="F26" s="89"/>
      <c r="G26" s="141"/>
      <c r="H26" s="93">
        <f>ROUND(H23+H24+H25,0)</f>
        <v>1713730264</v>
      </c>
      <c r="I26" s="88" t="str">
        <f>""</f>
        <v/>
      </c>
    </row>
    <row r="27" spans="1:9" ht="15.75" customHeight="1" x14ac:dyDescent="0.15">
      <c r="A27" s="142"/>
      <c r="B27" s="143" t="s">
        <v>222</v>
      </c>
      <c r="C27" s="144"/>
      <c r="D27" s="145"/>
      <c r="E27" s="144"/>
      <c r="F27" s="144"/>
      <c r="G27" s="143"/>
      <c r="H27" s="146">
        <f>ROUND(H26,-3)</f>
        <v>1713730000</v>
      </c>
      <c r="I27" s="143"/>
    </row>
    <row r="28" spans="1:9" ht="30" customHeight="1" x14ac:dyDescent="0.15">
      <c r="A28" s="253" t="s">
        <v>286</v>
      </c>
      <c r="B28" s="254"/>
      <c r="C28" s="254"/>
      <c r="D28" s="255"/>
      <c r="E28" s="254"/>
      <c r="F28" s="254"/>
      <c r="G28" s="256"/>
      <c r="H28" s="257"/>
      <c r="I28" s="147"/>
    </row>
    <row r="29" spans="1:9" ht="26.25" customHeight="1" x14ac:dyDescent="0.15">
      <c r="A29" s="258" t="str">
        <f>A1</f>
        <v>BẢNG TỔNG HỢP DỰ TOÁN CHI PHÍ XÂY DỰNG</v>
      </c>
      <c r="B29" s="252"/>
      <c r="C29" s="252"/>
      <c r="D29" s="252"/>
      <c r="E29" s="252"/>
      <c r="F29" s="252"/>
      <c r="G29" s="252"/>
      <c r="H29" s="252"/>
      <c r="I29" s="252"/>
    </row>
    <row r="30" spans="1:9" ht="32.25" customHeight="1" x14ac:dyDescent="0.15">
      <c r="A30" s="251" t="str">
        <f>A2</f>
        <v>Tên công trình: XÂY DỰNG NHÀ Ở CHO LỰC LƯỢNG VŨ TRANG CÔNG AN NHÂN DÂN (NHÀ Ở XÃ HỘI CHO CÁN BỘ, CHIẾN SỸ CÔNG AN) TẠI CÁC Ô ĐẤT CE-ODK3 VÀ C3-ODK4 THUỘC QUY HOẠCH PHÂN KHU ĐÔ THỊ H2-4, PHƯỜNG YÊN SỞ, THÀNH PHỐ HÀ NỘI</v>
      </c>
      <c r="B30" s="252"/>
      <c r="C30" s="252"/>
      <c r="D30" s="252"/>
      <c r="E30" s="252"/>
      <c r="F30" s="252"/>
      <c r="G30" s="252"/>
      <c r="H30" s="252"/>
      <c r="I30" s="252"/>
    </row>
    <row r="31" spans="1:9" ht="18.75" customHeight="1" x14ac:dyDescent="0.15">
      <c r="A31" s="251" t="s">
        <v>287</v>
      </c>
      <c r="B31" s="252"/>
      <c r="C31" s="252"/>
      <c r="D31" s="252"/>
      <c r="E31" s="252"/>
      <c r="F31" s="252"/>
      <c r="G31" s="252"/>
      <c r="H31" s="252"/>
      <c r="I31" s="252"/>
    </row>
    <row r="32" spans="1:9" ht="30" customHeight="1" x14ac:dyDescent="0.15">
      <c r="A32" s="52" t="str">
        <f t="shared" ref="A32:I32" si="0">A4</f>
        <v>STT</v>
      </c>
      <c r="B32" s="19" t="str">
        <f t="shared" si="0"/>
        <v>NỘI DUNG CHI PHÍ</v>
      </c>
      <c r="C32" s="19">
        <f t="shared" si="0"/>
        <v>0</v>
      </c>
      <c r="D32" s="19" t="str">
        <f t="shared" si="0"/>
        <v>CÁCH TÍNH</v>
      </c>
      <c r="E32" s="19">
        <f t="shared" si="0"/>
        <v>0</v>
      </c>
      <c r="F32" s="19">
        <f t="shared" si="0"/>
        <v>0</v>
      </c>
      <c r="G32" s="19" t="str">
        <f t="shared" si="0"/>
        <v>HỆ SỐ</v>
      </c>
      <c r="H32" s="19" t="str">
        <f t="shared" si="0"/>
        <v>GIÁ TRỊ
(đ)</v>
      </c>
      <c r="I32" s="19" t="str">
        <f t="shared" si="0"/>
        <v>KÝ HIỆU</v>
      </c>
    </row>
    <row r="33" spans="1:9" ht="15.75" customHeight="1" x14ac:dyDescent="0.15">
      <c r="A33" s="109" t="s">
        <v>70</v>
      </c>
      <c r="B33" s="25" t="s">
        <v>230</v>
      </c>
      <c r="C33" s="25"/>
      <c r="D33" s="28" t="s">
        <v>231</v>
      </c>
      <c r="E33" s="25"/>
      <c r="F33" s="25"/>
      <c r="G33" s="28"/>
      <c r="H33" s="82">
        <f>H34+H36+H38</f>
        <v>144720411.715</v>
      </c>
      <c r="I33" s="28" t="s">
        <v>232</v>
      </c>
    </row>
    <row r="34" spans="1:9" ht="15.75" customHeight="1" x14ac:dyDescent="0.15">
      <c r="A34" s="131" t="s">
        <v>233</v>
      </c>
      <c r="B34" s="132" t="s">
        <v>234</v>
      </c>
      <c r="C34" s="132"/>
      <c r="D34" s="28" t="str">
        <f>I35</f>
        <v>A1</v>
      </c>
      <c r="E34" s="132"/>
      <c r="F34" s="132"/>
      <c r="G34" s="133"/>
      <c r="H34" s="134">
        <f>H35</f>
        <v>1213540.9000000001</v>
      </c>
      <c r="I34" s="133" t="s">
        <v>236</v>
      </c>
    </row>
    <row r="35" spans="1:9" ht="15.75" customHeight="1" x14ac:dyDescent="0.15">
      <c r="A35" s="109"/>
      <c r="B35" s="25" t="s">
        <v>237</v>
      </c>
      <c r="C35" s="25"/>
      <c r="D35" s="28" t="s">
        <v>238</v>
      </c>
      <c r="E35" s="25"/>
      <c r="F35" s="25"/>
      <c r="G35" s="28"/>
      <c r="H35" s="82">
        <f>'Giá tổng hợp'!I14</f>
        <v>1213540.9000000001</v>
      </c>
      <c r="I35" s="28" t="s">
        <v>235</v>
      </c>
    </row>
    <row r="36" spans="1:9" ht="15.75" customHeight="1" x14ac:dyDescent="0.15">
      <c r="A36" s="131" t="s">
        <v>239</v>
      </c>
      <c r="B36" s="132" t="s">
        <v>240</v>
      </c>
      <c r="C36" s="132"/>
      <c r="D36" s="28" t="str">
        <f>I37</f>
        <v>B1</v>
      </c>
      <c r="E36" s="132"/>
      <c r="F36" s="132"/>
      <c r="G36" s="133"/>
      <c r="H36" s="134">
        <f>H37</f>
        <v>95403000</v>
      </c>
      <c r="I36" s="133" t="s">
        <v>242</v>
      </c>
    </row>
    <row r="37" spans="1:9" ht="15.75" customHeight="1" x14ac:dyDescent="0.15">
      <c r="A37" s="109"/>
      <c r="B37" s="25" t="s">
        <v>237</v>
      </c>
      <c r="C37" s="25"/>
      <c r="D37" s="28" t="s">
        <v>238</v>
      </c>
      <c r="E37" s="25"/>
      <c r="F37" s="25"/>
      <c r="G37" s="28"/>
      <c r="H37" s="82">
        <f>'Giá tổng hợp'!J14</f>
        <v>95403000</v>
      </c>
      <c r="I37" s="28" t="s">
        <v>241</v>
      </c>
    </row>
    <row r="38" spans="1:9" ht="15.75" customHeight="1" x14ac:dyDescent="0.15">
      <c r="A38" s="131" t="s">
        <v>243</v>
      </c>
      <c r="B38" s="132" t="s">
        <v>244</v>
      </c>
      <c r="C38" s="132"/>
      <c r="D38" s="28" t="str">
        <f>I39</f>
        <v>C1</v>
      </c>
      <c r="E38" s="132"/>
      <c r="F38" s="132"/>
      <c r="G38" s="133"/>
      <c r="H38" s="134">
        <f>H39</f>
        <v>48103870.814999998</v>
      </c>
      <c r="I38" s="133" t="s">
        <v>246</v>
      </c>
    </row>
    <row r="39" spans="1:9" ht="15.75" customHeight="1" x14ac:dyDescent="0.15">
      <c r="A39" s="109"/>
      <c r="B39" s="25" t="s">
        <v>237</v>
      </c>
      <c r="C39" s="25"/>
      <c r="D39" s="28" t="s">
        <v>238</v>
      </c>
      <c r="E39" s="25"/>
      <c r="F39" s="25"/>
      <c r="G39" s="28"/>
      <c r="H39" s="82">
        <f>'Giá tổng hợp'!K14</f>
        <v>48103870.814999998</v>
      </c>
      <c r="I39" s="28" t="s">
        <v>245</v>
      </c>
    </row>
    <row r="40" spans="1:9" ht="15.75" hidden="1" customHeight="1" x14ac:dyDescent="0.15">
      <c r="A40" s="135" t="str">
        <f>""</f>
        <v/>
      </c>
      <c r="B40" s="89" t="s">
        <v>248</v>
      </c>
      <c r="C40" s="89"/>
      <c r="D40" s="28"/>
      <c r="E40" s="89"/>
      <c r="F40" s="89"/>
      <c r="G40" s="136"/>
      <c r="H40" s="93"/>
      <c r="I40" s="88"/>
    </row>
    <row r="41" spans="1:9" ht="15.75" customHeight="1" x14ac:dyDescent="0.15">
      <c r="A41" s="109" t="s">
        <v>85</v>
      </c>
      <c r="B41" s="25" t="s">
        <v>249</v>
      </c>
      <c r="C41" s="25"/>
      <c r="D41" s="28" t="s">
        <v>250</v>
      </c>
      <c r="E41" s="25"/>
      <c r="F41" s="25"/>
      <c r="G41" s="137"/>
      <c r="H41" s="82">
        <f>SUM(H42:H43)</f>
        <v>75465324.702899992</v>
      </c>
      <c r="I41" s="28" t="s">
        <v>251</v>
      </c>
    </row>
    <row r="42" spans="1:9" ht="15.75" customHeight="1" x14ac:dyDescent="0.15">
      <c r="A42" s="109" t="s">
        <v>233</v>
      </c>
      <c r="B42" s="25" t="s">
        <v>252</v>
      </c>
      <c r="C42" s="25"/>
      <c r="D42" s="28" t="str">
        <f>"NC x "&amp;HSXL!C$33</f>
        <v>NC x 70%</v>
      </c>
      <c r="E42" s="25"/>
      <c r="F42" s="25"/>
      <c r="G42" s="137" t="str">
        <f>HSXL!C$33</f>
        <v>70%</v>
      </c>
      <c r="H42" s="82">
        <f>H36*HSXL!D$33</f>
        <v>66782099.999999993</v>
      </c>
      <c r="I42" s="28" t="s">
        <v>253</v>
      </c>
    </row>
    <row r="43" spans="1:9" ht="28.5" customHeight="1" x14ac:dyDescent="0.15">
      <c r="A43" s="109" t="s">
        <v>239</v>
      </c>
      <c r="B43" s="25" t="s">
        <v>254</v>
      </c>
      <c r="C43" s="25"/>
      <c r="D43" s="28" t="str">
        <f>"T x "&amp;HSXL!C$32</f>
        <v>T x 6%</v>
      </c>
      <c r="E43" s="25"/>
      <c r="F43" s="25"/>
      <c r="G43" s="137" t="str">
        <f>HSXL!C$32</f>
        <v>6%</v>
      </c>
      <c r="H43" s="82">
        <f>H33*HSXL!D$32</f>
        <v>8683224.7028999999</v>
      </c>
      <c r="I43" s="28" t="s">
        <v>255</v>
      </c>
    </row>
    <row r="44" spans="1:9" ht="15.75" customHeight="1" x14ac:dyDescent="0.15">
      <c r="A44" s="109" t="s">
        <v>96</v>
      </c>
      <c r="B44" s="25" t="s">
        <v>256</v>
      </c>
      <c r="C44" s="25"/>
      <c r="D44" s="28" t="str">
        <f>"(T+GT) x "&amp;HSXL!C$35</f>
        <v>(T+GT) x 6%</v>
      </c>
      <c r="E44" s="25"/>
      <c r="F44" s="25"/>
      <c r="G44" s="137" t="str">
        <f>HSXL!C$35</f>
        <v>6%</v>
      </c>
      <c r="H44" s="82">
        <f>(H33+H41)*HSXL!D$35</f>
        <v>13211144.185074</v>
      </c>
      <c r="I44" s="28" t="s">
        <v>257</v>
      </c>
    </row>
    <row r="45" spans="1:9" ht="15.75" customHeight="1" x14ac:dyDescent="0.15">
      <c r="A45" s="109" t="s">
        <v>258</v>
      </c>
      <c r="B45" s="25" t="s">
        <v>259</v>
      </c>
      <c r="C45" s="25"/>
      <c r="D45" s="28" t="str">
        <f>""</f>
        <v/>
      </c>
      <c r="E45" s="25"/>
      <c r="F45" s="25"/>
      <c r="G45" s="137"/>
      <c r="H45" s="82">
        <f>H48</f>
        <v>11669844.0301487</v>
      </c>
      <c r="I45" s="28" t="s">
        <v>260</v>
      </c>
    </row>
    <row r="46" spans="1:9" ht="15.75" customHeight="1" x14ac:dyDescent="0.15">
      <c r="A46" s="109" t="s">
        <v>233</v>
      </c>
      <c r="B46" s="25" t="s">
        <v>261</v>
      </c>
      <c r="C46" s="25"/>
      <c r="D46" s="28" t="s">
        <v>262</v>
      </c>
      <c r="E46" s="25"/>
      <c r="F46" s="25"/>
      <c r="G46" s="137"/>
      <c r="H46" s="82">
        <f>(H33+H41+H44)*2%</f>
        <v>4667937.6120594805</v>
      </c>
      <c r="I46" s="28" t="s">
        <v>263</v>
      </c>
    </row>
    <row r="47" spans="1:9" ht="15.75" customHeight="1" x14ac:dyDescent="0.15">
      <c r="A47" s="109" t="s">
        <v>239</v>
      </c>
      <c r="B47" s="25" t="s">
        <v>264</v>
      </c>
      <c r="C47" s="25"/>
      <c r="D47" s="28" t="s">
        <v>265</v>
      </c>
      <c r="E47" s="25"/>
      <c r="F47" s="25"/>
      <c r="G47" s="137"/>
      <c r="H47" s="82">
        <f>(H33+H41+H44)*3%</f>
        <v>7001906.4180892194</v>
      </c>
      <c r="I47" s="28" t="s">
        <v>266</v>
      </c>
    </row>
    <row r="48" spans="1:9" ht="15.75" customHeight="1" x14ac:dyDescent="0.15">
      <c r="A48" s="135" t="str">
        <f>""</f>
        <v/>
      </c>
      <c r="B48" s="89" t="s">
        <v>267</v>
      </c>
      <c r="C48" s="89"/>
      <c r="D48" s="28" t="s">
        <v>268</v>
      </c>
      <c r="E48" s="89"/>
      <c r="F48" s="89"/>
      <c r="G48" s="136"/>
      <c r="H48" s="93">
        <f>SUM(H46:H47)</f>
        <v>11669844.0301487</v>
      </c>
      <c r="I48" s="88" t="str">
        <f>""</f>
        <v/>
      </c>
    </row>
    <row r="49" spans="1:9" ht="15.75" customHeight="1" x14ac:dyDescent="0.15">
      <c r="A49" s="109" t="str">
        <f>""</f>
        <v/>
      </c>
      <c r="B49" s="25" t="s">
        <v>269</v>
      </c>
      <c r="C49" s="25"/>
      <c r="D49" s="28" t="s">
        <v>270</v>
      </c>
      <c r="E49" s="25"/>
      <c r="F49" s="25"/>
      <c r="G49" s="137"/>
      <c r="H49" s="82">
        <f>H33+H41+H44+H48</f>
        <v>245066724.63312268</v>
      </c>
      <c r="I49" s="28" t="s">
        <v>271</v>
      </c>
    </row>
    <row r="50" spans="1:9" ht="15.75" customHeight="1" x14ac:dyDescent="0.15">
      <c r="A50" s="109" t="s">
        <v>272</v>
      </c>
      <c r="B50" s="25" t="s">
        <v>273</v>
      </c>
      <c r="C50" s="25"/>
      <c r="D50" s="28" t="str">
        <f>"G x "&amp;HSXL!C$36</f>
        <v>G x 10%</v>
      </c>
      <c r="E50" s="138">
        <f>G50</f>
        <v>0.1</v>
      </c>
      <c r="F50" s="25"/>
      <c r="G50" s="139">
        <f>HSXL!D$36</f>
        <v>0.1</v>
      </c>
      <c r="H50" s="82">
        <f>E50*H49</f>
        <v>24506672.463312268</v>
      </c>
      <c r="I50" s="28" t="s">
        <v>274</v>
      </c>
    </row>
    <row r="51" spans="1:9" ht="15.75" customHeight="1" x14ac:dyDescent="0.15">
      <c r="A51" s="109" t="str">
        <f>""</f>
        <v/>
      </c>
      <c r="B51" s="25" t="s">
        <v>275</v>
      </c>
      <c r="C51" s="25"/>
      <c r="D51" s="28" t="s">
        <v>276</v>
      </c>
      <c r="E51" s="101"/>
      <c r="F51" s="25"/>
      <c r="G51" s="102"/>
      <c r="H51" s="82">
        <f>H49+H50</f>
        <v>269573397.09643495</v>
      </c>
      <c r="I51" s="28" t="s">
        <v>277</v>
      </c>
    </row>
    <row r="52" spans="1:9" ht="15.75" customHeight="1" x14ac:dyDescent="0.15">
      <c r="A52" s="109" t="s">
        <v>278</v>
      </c>
      <c r="B52" s="25" t="s">
        <v>279</v>
      </c>
      <c r="C52" s="25"/>
      <c r="D52" s="28" t="str">
        <f>"Gks x "&amp;HSXL!C$37</f>
        <v>Gks x 2%</v>
      </c>
      <c r="E52" s="101">
        <f>G52</f>
        <v>0.02</v>
      </c>
      <c r="F52" s="25"/>
      <c r="G52" s="102">
        <f>HSXL!D$37</f>
        <v>0.02</v>
      </c>
      <c r="H52" s="82">
        <f>E52*H51</f>
        <v>5391467.9419286987</v>
      </c>
      <c r="I52" s="28" t="s">
        <v>280</v>
      </c>
    </row>
    <row r="53" spans="1:9" ht="15.75" customHeight="1" x14ac:dyDescent="0.15">
      <c r="A53" s="109" t="s">
        <v>281</v>
      </c>
      <c r="B53" s="25" t="s">
        <v>282</v>
      </c>
      <c r="C53" s="25"/>
      <c r="D53" s="28" t="s">
        <v>283</v>
      </c>
      <c r="E53" s="101"/>
      <c r="F53" s="25"/>
      <c r="G53" s="102"/>
      <c r="H53" s="82">
        <f>E53*H51</f>
        <v>0</v>
      </c>
      <c r="I53" s="28" t="s">
        <v>284</v>
      </c>
    </row>
    <row r="54" spans="1:9" ht="15.75" customHeight="1" x14ac:dyDescent="0.15">
      <c r="A54" s="135" t="str">
        <f>""</f>
        <v/>
      </c>
      <c r="B54" s="89" t="s">
        <v>285</v>
      </c>
      <c r="C54" s="89"/>
      <c r="D54" s="28" t="str">
        <f>""</f>
        <v/>
      </c>
      <c r="E54" s="140"/>
      <c r="F54" s="89"/>
      <c r="G54" s="141"/>
      <c r="H54" s="93">
        <f>ROUND(H51+H52+H53,0)</f>
        <v>274964865</v>
      </c>
      <c r="I54" s="88" t="str">
        <f>""</f>
        <v/>
      </c>
    </row>
    <row r="55" spans="1:9" ht="15.75" customHeight="1" x14ac:dyDescent="0.15">
      <c r="A55" s="142"/>
      <c r="B55" s="143" t="s">
        <v>222</v>
      </c>
      <c r="C55" s="144"/>
      <c r="D55" s="145"/>
      <c r="E55" s="144"/>
      <c r="F55" s="144"/>
      <c r="G55" s="143"/>
      <c r="H55" s="146">
        <f>ROUND(H54,-3)</f>
        <v>274965000</v>
      </c>
      <c r="I55" s="143"/>
    </row>
    <row r="56" spans="1:9" ht="30" customHeight="1" x14ac:dyDescent="0.15">
      <c r="A56" s="253" t="s">
        <v>288</v>
      </c>
      <c r="B56" s="254"/>
      <c r="C56" s="254"/>
      <c r="D56" s="255"/>
      <c r="E56" s="254"/>
      <c r="F56" s="254"/>
      <c r="G56" s="256"/>
      <c r="H56" s="257"/>
      <c r="I56" s="147"/>
    </row>
  </sheetData>
  <mergeCells count="8">
    <mergeCell ref="A30:I30"/>
    <mergeCell ref="A31:I31"/>
    <mergeCell ref="A56:H56"/>
    <mergeCell ref="A1:I1"/>
    <mergeCell ref="A2:I2"/>
    <mergeCell ref="A3:I3"/>
    <mergeCell ref="A28:H28"/>
    <mergeCell ref="A29:I29"/>
  </mergeCells>
  <pageMargins left="1.2291666666666667" right="0" top="4.1666666666666664E-2" bottom="0.20833333333333334" header="0.57291666666666663" footer="0.40625"/>
  <pageSetup paperSize="0" orientation="landscape" blackAndWhite="1" useFirstPageNumber="1"/>
  <headerFooter>
    <oddFooter>&amp;C&amp;P</oddFooter>
  </headerFooter>
  <rowBreaks count="1" manualBreakCount="1">
    <brk id="2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workbookViewId="0">
      <selection activeCell="E6" sqref="E6"/>
    </sheetView>
  </sheetViews>
  <sheetFormatPr defaultColWidth="10" defaultRowHeight="15" customHeight="1" x14ac:dyDescent="0.15"/>
  <cols>
    <col min="1" max="1" width="6.5" style="46" customWidth="1"/>
    <col min="2" max="2" width="12.1640625" style="46" customWidth="1"/>
    <col min="3" max="3" width="43.33203125" style="46" customWidth="1"/>
    <col min="4" max="4" width="9.33203125" style="46" customWidth="1"/>
    <col min="5" max="8" width="13.33203125" style="46" customWidth="1"/>
    <col min="9" max="11" width="14.1640625" style="46" customWidth="1"/>
    <col min="12" max="12" width="14.1640625" style="46" hidden="1" customWidth="1"/>
    <col min="13" max="13" width="10" style="46" hidden="1" customWidth="1"/>
    <col min="14" max="15" width="10" style="46" customWidth="1"/>
    <col min="16" max="16384" width="10" style="46"/>
  </cols>
  <sheetData>
    <row r="1" spans="1:13" ht="26.25" customHeight="1" x14ac:dyDescent="0.15">
      <c r="A1" s="258" t="s">
        <v>218</v>
      </c>
      <c r="B1" s="260"/>
      <c r="C1" s="260"/>
      <c r="D1" s="260"/>
      <c r="E1" s="260"/>
      <c r="F1" s="260"/>
      <c r="G1" s="260"/>
      <c r="H1" s="260"/>
      <c r="I1" s="260"/>
      <c r="J1" s="260"/>
      <c r="K1" s="260"/>
      <c r="L1" s="260"/>
    </row>
    <row r="2" spans="1:13" ht="45.7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c r="E2" s="260"/>
      <c r="F2" s="260"/>
      <c r="G2" s="260"/>
      <c r="H2" s="260"/>
      <c r="I2" s="260"/>
      <c r="J2" s="260"/>
      <c r="K2" s="260"/>
      <c r="L2" s="260"/>
    </row>
    <row r="3" spans="1:13" ht="37.5" customHeight="1" x14ac:dyDescent="0.15">
      <c r="A3" s="262" t="str">
        <f>'Công trình'!F6</f>
        <v>THÍ NGHIỆM SIÊU ÂM KIỂM TRA CHẤT LƯỢNG CỌC KHOAN ĐẠI TRÀ</v>
      </c>
      <c r="B3" s="260"/>
      <c r="C3" s="260"/>
      <c r="D3" s="260"/>
      <c r="E3" s="260"/>
      <c r="F3" s="260"/>
      <c r="G3" s="260"/>
      <c r="H3" s="260"/>
      <c r="I3" s="260"/>
      <c r="J3" s="260"/>
      <c r="K3" s="260"/>
      <c r="L3" s="260"/>
    </row>
    <row r="4" spans="1:13" ht="18.75" customHeight="1" x14ac:dyDescent="0.15">
      <c r="A4" s="265" t="s">
        <v>4</v>
      </c>
      <c r="B4" s="267" t="s">
        <v>64</v>
      </c>
      <c r="C4" s="267" t="s">
        <v>219</v>
      </c>
      <c r="D4" s="267" t="s">
        <v>66</v>
      </c>
      <c r="E4" s="267" t="s">
        <v>17</v>
      </c>
      <c r="F4" s="263" t="str">
        <f>"Đơn giá "&amp;'Công trình'!AM1</f>
        <v>Đơn giá (đ)</v>
      </c>
      <c r="G4" s="263"/>
      <c r="H4" s="264"/>
      <c r="I4" s="263" t="str">
        <f>"Thành tiền "&amp;'Công trình'!AM1</f>
        <v>Thành tiền (đ)</v>
      </c>
      <c r="J4" s="263"/>
      <c r="K4" s="264"/>
      <c r="L4" s="267" t="str">
        <f>"Tổng cộng
"&amp;'Công trình'!AM1</f>
        <v>Tổng cộng
(đ)</v>
      </c>
    </row>
    <row r="5" spans="1:13" ht="18.75" customHeight="1" x14ac:dyDescent="0.15">
      <c r="A5" s="266"/>
      <c r="B5" s="268"/>
      <c r="C5" s="268"/>
      <c r="D5" s="268"/>
      <c r="E5" s="268"/>
      <c r="F5" s="22" t="s">
        <v>28</v>
      </c>
      <c r="G5" s="22" t="s">
        <v>30</v>
      </c>
      <c r="H5" s="22" t="s">
        <v>31</v>
      </c>
      <c r="I5" s="22" t="s">
        <v>28</v>
      </c>
      <c r="J5" s="22" t="s">
        <v>30</v>
      </c>
      <c r="K5" s="22" t="s">
        <v>31</v>
      </c>
      <c r="L5" s="268"/>
    </row>
    <row r="6" spans="1:13" ht="40.5" customHeight="1" x14ac:dyDescent="0.15">
      <c r="A6" s="57">
        <f>'Công trình'!A7</f>
        <v>1</v>
      </c>
      <c r="B6" s="28" t="str">
        <f>'Công trình'!E7</f>
        <v>CE.12910</v>
      </c>
      <c r="C6" s="25" t="str">
        <f>'Công trình'!F7</f>
        <v>Thí nghiệm kiểm tra chất lượng cọc bê tông bằng phương pháp siêu âm</v>
      </c>
      <c r="D6" s="28" t="str">
        <f>'Công trình'!G7</f>
        <v>mặt cắt/lần TN</v>
      </c>
      <c r="E6" s="81">
        <f>'Công trình'!P7</f>
        <v>1008</v>
      </c>
      <c r="F6" s="82">
        <f>'Đơn giá chi tiết'!H$6</f>
        <v>3512.712</v>
      </c>
      <c r="G6" s="82">
        <f>'Đơn giá chi tiết'!H$11</f>
        <v>678340</v>
      </c>
      <c r="H6" s="82">
        <f>'Đơn giá chi tiết'!H$15</f>
        <v>154550.68480000002</v>
      </c>
      <c r="I6" s="82">
        <f>E6*F6</f>
        <v>3540813.696</v>
      </c>
      <c r="J6" s="82">
        <f>E6*G6</f>
        <v>683766720</v>
      </c>
      <c r="K6" s="82">
        <f>E6*H6</f>
        <v>155787090.2784</v>
      </c>
      <c r="L6" s="82">
        <f>(I6+J6+K6)</f>
        <v>843094623.97440004</v>
      </c>
      <c r="M6" s="76">
        <v>1</v>
      </c>
    </row>
    <row r="7" spans="1:13" ht="14.25" customHeight="1" x14ac:dyDescent="0.15">
      <c r="A7" s="111"/>
      <c r="B7" s="62"/>
      <c r="C7" s="119" t="s">
        <v>220</v>
      </c>
      <c r="D7" s="119"/>
      <c r="E7" s="120"/>
      <c r="F7" s="120"/>
      <c r="G7" s="120"/>
      <c r="H7" s="120"/>
      <c r="I7" s="121">
        <f>SUM(I6:I6)</f>
        <v>3540813.696</v>
      </c>
      <c r="J7" s="121">
        <f>SUM(J6:J6)</f>
        <v>683766720</v>
      </c>
      <c r="K7" s="121">
        <f>SUM(K6:K6)</f>
        <v>155787090.2784</v>
      </c>
      <c r="L7" s="121">
        <f>SUM(L6:L6)</f>
        <v>843094623.97440004</v>
      </c>
    </row>
    <row r="8" spans="1:13" ht="26.25" customHeight="1" x14ac:dyDescent="0.15">
      <c r="A8" s="258" t="str">
        <f>A1</f>
        <v>GIÁ XÂY DỰNG TỔNG HỢP HẠNG MỤC CÔNG TRÌNH</v>
      </c>
      <c r="B8" s="259"/>
      <c r="C8" s="260"/>
      <c r="D8" s="259"/>
      <c r="E8" s="260"/>
      <c r="F8" s="260"/>
      <c r="G8" s="260"/>
      <c r="H8" s="260"/>
      <c r="I8" s="260"/>
      <c r="J8" s="260"/>
      <c r="K8" s="260"/>
      <c r="L8" s="260"/>
    </row>
    <row r="9" spans="1:13" ht="45.75" customHeight="1" x14ac:dyDescent="0.15">
      <c r="A9"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9" s="259"/>
      <c r="C9" s="260"/>
      <c r="D9" s="259"/>
      <c r="E9" s="260"/>
      <c r="F9" s="260"/>
      <c r="G9" s="260"/>
      <c r="H9" s="260"/>
      <c r="I9" s="260"/>
      <c r="J9" s="260"/>
      <c r="K9" s="260"/>
      <c r="L9" s="260"/>
    </row>
    <row r="10" spans="1:13" ht="37.5" customHeight="1" x14ac:dyDescent="0.15">
      <c r="A10" s="262" t="str">
        <f>'Công trình'!F11</f>
        <v>KHOAN KIỂM TRA XỬ LÝ ĐÁY CỌC KHOAN NHỒI ĐẠI TRÀ</v>
      </c>
      <c r="B10" s="259"/>
      <c r="C10" s="260"/>
      <c r="D10" s="259"/>
      <c r="E10" s="260"/>
      <c r="F10" s="260"/>
      <c r="G10" s="260"/>
      <c r="H10" s="260"/>
      <c r="I10" s="260"/>
      <c r="J10" s="260"/>
      <c r="K10" s="260"/>
      <c r="L10" s="260"/>
    </row>
    <row r="11" spans="1:13" ht="18.75" customHeight="1" x14ac:dyDescent="0.15">
      <c r="A11" s="265" t="str">
        <f t="shared" ref="A11:L11" si="0">A4</f>
        <v>STT</v>
      </c>
      <c r="B11" s="267" t="str">
        <f t="shared" si="0"/>
        <v>Mã số</v>
      </c>
      <c r="C11" s="267" t="str">
        <f t="shared" si="0"/>
        <v>Tên công tác</v>
      </c>
      <c r="D11" s="267" t="str">
        <f t="shared" si="0"/>
        <v>Đơn vị</v>
      </c>
      <c r="E11" s="267" t="str">
        <f t="shared" si="0"/>
        <v>Khối lượng</v>
      </c>
      <c r="F11" s="263" t="str">
        <f t="shared" si="0"/>
        <v>Đơn giá (đ)</v>
      </c>
      <c r="G11" s="263">
        <f t="shared" si="0"/>
        <v>0</v>
      </c>
      <c r="H11" s="264">
        <f t="shared" si="0"/>
        <v>0</v>
      </c>
      <c r="I11" s="263" t="str">
        <f t="shared" si="0"/>
        <v>Thành tiền (đ)</v>
      </c>
      <c r="J11" s="263">
        <f t="shared" si="0"/>
        <v>0</v>
      </c>
      <c r="K11" s="264">
        <f t="shared" si="0"/>
        <v>0</v>
      </c>
      <c r="L11" s="267" t="str">
        <f t="shared" si="0"/>
        <v>Tổng cộng
(đ)</v>
      </c>
    </row>
    <row r="12" spans="1:13" ht="18.75" customHeight="1" x14ac:dyDescent="0.15">
      <c r="A12" s="266">
        <f t="shared" ref="A12:L12" si="1">A5</f>
        <v>0</v>
      </c>
      <c r="B12" s="268">
        <f t="shared" si="1"/>
        <v>0</v>
      </c>
      <c r="C12" s="268">
        <f t="shared" si="1"/>
        <v>0</v>
      </c>
      <c r="D12" s="268">
        <f t="shared" si="1"/>
        <v>0</v>
      </c>
      <c r="E12" s="268">
        <f t="shared" si="1"/>
        <v>0</v>
      </c>
      <c r="F12" s="22" t="str">
        <f t="shared" si="1"/>
        <v>Vật liệu</v>
      </c>
      <c r="G12" s="22" t="str">
        <f t="shared" si="1"/>
        <v>Nhân công</v>
      </c>
      <c r="H12" s="22" t="str">
        <f t="shared" si="1"/>
        <v>Máy T.C</v>
      </c>
      <c r="I12" s="22" t="str">
        <f t="shared" si="1"/>
        <v>Vật liệu</v>
      </c>
      <c r="J12" s="22" t="str">
        <f t="shared" si="1"/>
        <v>Nhân công</v>
      </c>
      <c r="K12" s="22" t="str">
        <f t="shared" si="1"/>
        <v>Máy T.C</v>
      </c>
      <c r="L12" s="268">
        <f t="shared" si="1"/>
        <v>0</v>
      </c>
    </row>
    <row r="13" spans="1:13" ht="28.5" customHeight="1" x14ac:dyDescent="0.15">
      <c r="A13" s="57">
        <f>'Công trình'!A12</f>
        <v>1</v>
      </c>
      <c r="B13" s="28" t="str">
        <f>'Công trình'!E12</f>
        <v>AL.55120</v>
      </c>
      <c r="C13" s="25" t="str">
        <f>'Công trình'!F12</f>
        <v>Khoan kiểm tra, xử lý đáy cọc khoan nhồi, đường kính lỗ khoan &gt; 80mm</v>
      </c>
      <c r="D13" s="28" t="str">
        <f>'Công trình'!G12</f>
        <v>cọc</v>
      </c>
      <c r="E13" s="81">
        <f>'Công trình'!P12</f>
        <v>22</v>
      </c>
      <c r="F13" s="82">
        <f>'Đơn giá chi tiết'!H$24</f>
        <v>55160.950000000004</v>
      </c>
      <c r="G13" s="82">
        <f>'Đơn giá chi tiết'!H$28</f>
        <v>4336500</v>
      </c>
      <c r="H13" s="82">
        <f>'Đơn giá chi tiết'!H$30</f>
        <v>2186539.5825</v>
      </c>
      <c r="I13" s="82">
        <f>E13*F13</f>
        <v>1213540.9000000001</v>
      </c>
      <c r="J13" s="82">
        <f>E13*G13</f>
        <v>95403000</v>
      </c>
      <c r="K13" s="82">
        <f>E13*H13</f>
        <v>48103870.814999998</v>
      </c>
      <c r="L13" s="82">
        <f>(I13+J13+K13)</f>
        <v>144720411.715</v>
      </c>
      <c r="M13" s="76">
        <v>1</v>
      </c>
    </row>
    <row r="14" spans="1:13" ht="14.25" customHeight="1" x14ac:dyDescent="0.15">
      <c r="A14" s="109"/>
      <c r="B14" s="28"/>
      <c r="C14" s="54" t="s">
        <v>220</v>
      </c>
      <c r="D14" s="54"/>
      <c r="E14" s="129"/>
      <c r="F14" s="129"/>
      <c r="G14" s="129"/>
      <c r="H14" s="129"/>
      <c r="I14" s="130">
        <f>SUM(I13:I13)</f>
        <v>1213540.9000000001</v>
      </c>
      <c r="J14" s="130">
        <f>SUM(J13:J13)</f>
        <v>95403000</v>
      </c>
      <c r="K14" s="130">
        <f>SUM(K13:K13)</f>
        <v>48103870.814999998</v>
      </c>
      <c r="L14" s="130">
        <f>SUM(L13:L13)</f>
        <v>144720411.715</v>
      </c>
    </row>
    <row r="15" spans="1:13" ht="14.25" customHeight="1" x14ac:dyDescent="0.15">
      <c r="A15" s="109"/>
      <c r="B15" s="28"/>
      <c r="C15" s="54" t="s">
        <v>221</v>
      </c>
      <c r="D15" s="54"/>
      <c r="E15" s="129"/>
      <c r="F15" s="129"/>
      <c r="G15" s="129"/>
      <c r="H15" s="129"/>
      <c r="I15" s="130"/>
      <c r="J15" s="130"/>
      <c r="K15" s="130"/>
      <c r="L15" s="130"/>
    </row>
    <row r="16" spans="1:13" ht="14.25" customHeight="1" x14ac:dyDescent="0.15">
      <c r="A16" s="118"/>
      <c r="B16" s="119"/>
      <c r="C16" s="119" t="s">
        <v>222</v>
      </c>
      <c r="D16" s="119"/>
      <c r="E16" s="120"/>
      <c r="F16" s="120"/>
      <c r="G16" s="120"/>
      <c r="H16" s="120"/>
      <c r="I16" s="121">
        <f>ROUND(I15,-3)</f>
        <v>0</v>
      </c>
      <c r="J16" s="121">
        <f>ROUND(J15,-3)</f>
        <v>0</v>
      </c>
      <c r="K16" s="121">
        <f>ROUND(K15,-3)</f>
        <v>0</v>
      </c>
      <c r="L16" s="121">
        <f>ROUND(L15,-3)</f>
        <v>0</v>
      </c>
    </row>
  </sheetData>
  <mergeCells count="22">
    <mergeCell ref="A1:L1"/>
    <mergeCell ref="A2:L2"/>
    <mergeCell ref="A3:L3"/>
    <mergeCell ref="A4:A5"/>
    <mergeCell ref="B4:B5"/>
    <mergeCell ref="C4:C5"/>
    <mergeCell ref="D4:D5"/>
    <mergeCell ref="E4:E5"/>
    <mergeCell ref="F4:H4"/>
    <mergeCell ref="I4:K4"/>
    <mergeCell ref="L4:L5"/>
    <mergeCell ref="A8:L8"/>
    <mergeCell ref="A9:L9"/>
    <mergeCell ref="A10:L10"/>
    <mergeCell ref="F11:H11"/>
    <mergeCell ref="I11:K11"/>
    <mergeCell ref="A11:A12"/>
    <mergeCell ref="B11:B12"/>
    <mergeCell ref="C11:C12"/>
    <mergeCell ref="D11:D12"/>
    <mergeCell ref="E11:E12"/>
    <mergeCell ref="L11:L12"/>
  </mergeCells>
  <pageMargins left="1.2291666666666667" right="0" top="4.1666666666666664E-2" bottom="0.20833333333333334" header="0.57291666666666663" footer="0.40625"/>
  <pageSetup paperSize="0" orientation="landscape" blackAndWhite="1" useFirstPageNumber="1"/>
  <headerFooter>
    <oddFooter>&amp;C&amp;P</oddFooter>
  </headerFooter>
  <rowBreaks count="1" manualBreakCount="1">
    <brk id="7" max="1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65"/>
  <sheetViews>
    <sheetView workbookViewId="0">
      <pane xSplit="5" ySplit="5" topLeftCell="F6" activePane="bottomRight" state="frozen"/>
      <selection activeCell="F11" sqref="F11"/>
      <selection pane="topRight" activeCell="F11" sqref="F11"/>
      <selection pane="bottomLeft" activeCell="F11" sqref="F11"/>
      <selection pane="bottomRight" activeCell="P12" sqref="P12"/>
    </sheetView>
  </sheetViews>
  <sheetFormatPr defaultColWidth="10" defaultRowHeight="15" customHeight="1" x14ac:dyDescent="0.15"/>
  <cols>
    <col min="1" max="1" width="6.5" style="1" customWidth="1"/>
    <col min="2" max="2" width="10" style="46" hidden="1" customWidth="1"/>
    <col min="3" max="4" width="13.83203125" style="46" hidden="1" customWidth="1"/>
    <col min="5" max="5" width="13.6640625" style="46" customWidth="1"/>
    <col min="6" max="6" width="41.6640625" style="46" customWidth="1"/>
    <col min="7" max="7" width="9.33203125" style="46" customWidth="1"/>
    <col min="8" max="8" width="7.83203125" style="47" hidden="1" customWidth="1"/>
    <col min="9" max="11" width="10" style="47" hidden="1" customWidth="1"/>
    <col min="12" max="12" width="7.1640625" style="47" hidden="1" customWidth="1"/>
    <col min="13" max="14" width="10" style="47" hidden="1" customWidth="1"/>
    <col min="15" max="15" width="9.33203125" style="47" hidden="1" customWidth="1"/>
    <col min="16" max="16" width="14" style="47" customWidth="1"/>
    <col min="17" max="17" width="12.5" style="48" customWidth="1"/>
    <col min="18" max="18" width="10.83203125" style="48" hidden="1" customWidth="1"/>
    <col min="19" max="19" width="12.83203125" style="48" customWidth="1"/>
    <col min="20" max="20" width="12.5" style="48" customWidth="1"/>
    <col min="21" max="21" width="15.83203125" style="48" customWidth="1"/>
    <col min="22" max="22" width="12.5" style="48" hidden="1" customWidth="1"/>
    <col min="23" max="24" width="15.83203125" style="48" customWidth="1"/>
    <col min="25" max="27" width="7.83203125" style="49" customWidth="1"/>
    <col min="28" max="28" width="31.6640625" style="46" customWidth="1"/>
    <col min="29" max="29" width="28.33203125" style="32" customWidth="1"/>
    <col min="30" max="30" width="28.33203125" style="32" hidden="1" customWidth="1"/>
    <col min="31" max="36" width="10" style="33" hidden="1" customWidth="1"/>
    <col min="37" max="38" width="10.83203125" style="50" customWidth="1"/>
    <col min="39" max="39" width="25" style="32" customWidth="1"/>
    <col min="40" max="40" width="10" style="1" customWidth="1"/>
    <col min="41" max="16384" width="10" style="1"/>
  </cols>
  <sheetData>
    <row r="1" spans="1:39" ht="24.75" customHeight="1" x14ac:dyDescent="0.15">
      <c r="A1" s="258" t="s">
        <v>0</v>
      </c>
      <c r="B1" s="270"/>
      <c r="C1" s="270"/>
      <c r="D1" s="270"/>
      <c r="E1" s="270"/>
      <c r="F1" s="270"/>
      <c r="G1" s="270"/>
      <c r="H1" s="271"/>
      <c r="I1" s="271"/>
      <c r="J1" s="271"/>
      <c r="K1" s="271"/>
      <c r="L1" s="271"/>
      <c r="M1" s="271"/>
      <c r="N1" s="271"/>
      <c r="O1" s="271"/>
      <c r="P1" s="271"/>
      <c r="Q1" s="272"/>
      <c r="R1" s="272"/>
      <c r="S1" s="272"/>
      <c r="T1" s="272"/>
      <c r="U1" s="272"/>
      <c r="V1" s="272"/>
      <c r="W1" s="272"/>
      <c r="X1" s="272"/>
      <c r="Y1" s="3"/>
      <c r="Z1" s="3"/>
      <c r="AA1" s="3"/>
      <c r="AB1" s="2"/>
      <c r="AC1" s="4"/>
      <c r="AD1" s="4"/>
      <c r="AE1" s="5"/>
      <c r="AF1" s="5"/>
      <c r="AG1" s="5"/>
      <c r="AH1" s="5"/>
      <c r="AI1" s="5"/>
      <c r="AJ1" s="5"/>
      <c r="AK1" s="6"/>
      <c r="AL1" s="6"/>
      <c r="AM1" s="7" t="s">
        <v>1</v>
      </c>
    </row>
    <row r="2" spans="1:39" ht="32.25" customHeight="1" x14ac:dyDescent="0.15">
      <c r="A2" s="261" t="s">
        <v>2</v>
      </c>
      <c r="B2" s="276"/>
      <c r="C2" s="276"/>
      <c r="D2" s="276"/>
      <c r="E2" s="276"/>
      <c r="F2" s="276"/>
      <c r="G2" s="276"/>
      <c r="H2" s="277"/>
      <c r="I2" s="277"/>
      <c r="J2" s="277"/>
      <c r="K2" s="277"/>
      <c r="L2" s="277"/>
      <c r="M2" s="277"/>
      <c r="N2" s="277"/>
      <c r="O2" s="277"/>
      <c r="P2" s="277"/>
      <c r="Q2" s="278"/>
      <c r="R2" s="278"/>
      <c r="S2" s="278"/>
      <c r="T2" s="278"/>
      <c r="U2" s="278"/>
      <c r="V2" s="278"/>
      <c r="W2" s="278"/>
      <c r="X2" s="278"/>
      <c r="Y2" s="9"/>
      <c r="Z2" s="9"/>
      <c r="AA2" s="9"/>
      <c r="AB2" s="8"/>
      <c r="AC2" s="10"/>
      <c r="AD2" s="10"/>
      <c r="AE2" s="11"/>
      <c r="AF2" s="11"/>
      <c r="AG2" s="11"/>
      <c r="AH2" s="11"/>
      <c r="AI2" s="11"/>
      <c r="AJ2" s="11"/>
      <c r="AK2" s="12"/>
      <c r="AL2" s="12"/>
      <c r="AM2" s="10"/>
    </row>
    <row r="3" spans="1:39" ht="26.25" customHeight="1" x14ac:dyDescent="0.15">
      <c r="A3" s="262" t="s">
        <v>3</v>
      </c>
      <c r="B3" s="273"/>
      <c r="C3" s="273"/>
      <c r="D3" s="273"/>
      <c r="E3" s="273"/>
      <c r="F3" s="273"/>
      <c r="G3" s="273"/>
      <c r="H3" s="274"/>
      <c r="I3" s="274"/>
      <c r="J3" s="274"/>
      <c r="K3" s="274"/>
      <c r="L3" s="274"/>
      <c r="M3" s="274"/>
      <c r="N3" s="274"/>
      <c r="O3" s="274"/>
      <c r="P3" s="274"/>
      <c r="Q3" s="275"/>
      <c r="R3" s="275"/>
      <c r="S3" s="275"/>
      <c r="T3" s="275"/>
      <c r="U3" s="275"/>
      <c r="V3" s="275"/>
      <c r="W3" s="275"/>
      <c r="X3" s="275"/>
      <c r="Y3" s="15"/>
      <c r="Z3" s="15"/>
      <c r="AA3" s="15"/>
      <c r="AB3" s="14"/>
      <c r="AC3" s="16"/>
      <c r="AD3" s="16"/>
      <c r="AE3" s="17"/>
      <c r="AF3" s="17"/>
      <c r="AG3" s="17"/>
      <c r="AH3" s="17"/>
      <c r="AI3" s="17"/>
      <c r="AJ3" s="17"/>
      <c r="AK3" s="18"/>
      <c r="AL3" s="18"/>
      <c r="AM3" s="16"/>
    </row>
    <row r="4" spans="1:39" ht="18.75" customHeight="1" x14ac:dyDescent="0.15">
      <c r="A4" s="265" t="s">
        <v>4</v>
      </c>
      <c r="B4" s="267" t="s">
        <v>5</v>
      </c>
      <c r="C4" s="267" t="s">
        <v>6</v>
      </c>
      <c r="D4" s="267" t="s">
        <v>7</v>
      </c>
      <c r="E4" s="267" t="s">
        <v>8</v>
      </c>
      <c r="F4" s="267" t="s">
        <v>9</v>
      </c>
      <c r="G4" s="267" t="s">
        <v>10</v>
      </c>
      <c r="H4" s="267" t="s">
        <v>11</v>
      </c>
      <c r="I4" s="263" t="s">
        <v>12</v>
      </c>
      <c r="J4" s="263"/>
      <c r="K4" s="264"/>
      <c r="L4" s="267" t="s">
        <v>13</v>
      </c>
      <c r="M4" s="267" t="s">
        <v>14</v>
      </c>
      <c r="N4" s="267" t="s">
        <v>15</v>
      </c>
      <c r="O4" s="267" t="s">
        <v>16</v>
      </c>
      <c r="P4" s="267" t="s">
        <v>17</v>
      </c>
      <c r="Q4" s="263" t="str">
        <f>"Đơn giá "&amp;'Công trình'!AM1</f>
        <v>Đơn giá (đ)</v>
      </c>
      <c r="R4" s="263"/>
      <c r="S4" s="263"/>
      <c r="T4" s="264"/>
      <c r="U4" s="263" t="str">
        <f>"Thành tiền "&amp;'Công trình'!AM1</f>
        <v>Thành tiền (đ)</v>
      </c>
      <c r="V4" s="263"/>
      <c r="W4" s="263"/>
      <c r="X4" s="264"/>
      <c r="Y4" s="263" t="s">
        <v>18</v>
      </c>
      <c r="Z4" s="263"/>
      <c r="AA4" s="264"/>
      <c r="AB4" s="262" t="s">
        <v>19</v>
      </c>
      <c r="AC4" s="269" t="s">
        <v>20</v>
      </c>
      <c r="AD4" s="269"/>
      <c r="AE4" s="262" t="s">
        <v>21</v>
      </c>
      <c r="AF4" s="262"/>
      <c r="AG4" s="262"/>
      <c r="AH4" s="262" t="s">
        <v>22</v>
      </c>
      <c r="AI4" s="262"/>
      <c r="AJ4" s="262"/>
      <c r="AK4" s="262" t="s">
        <v>23</v>
      </c>
      <c r="AL4" s="262"/>
      <c r="AM4" s="269" t="s">
        <v>24</v>
      </c>
    </row>
    <row r="5" spans="1:39" ht="30" customHeight="1" x14ac:dyDescent="0.15">
      <c r="A5" s="266"/>
      <c r="B5" s="268"/>
      <c r="C5" s="268"/>
      <c r="D5" s="268"/>
      <c r="E5" s="268"/>
      <c r="F5" s="268"/>
      <c r="G5" s="268"/>
      <c r="H5" s="268"/>
      <c r="I5" s="22" t="s">
        <v>25</v>
      </c>
      <c r="J5" s="22" t="s">
        <v>26</v>
      </c>
      <c r="K5" s="22" t="s">
        <v>27</v>
      </c>
      <c r="L5" s="268"/>
      <c r="M5" s="268"/>
      <c r="N5" s="268"/>
      <c r="O5" s="268"/>
      <c r="P5" s="268"/>
      <c r="Q5" s="22" t="s">
        <v>28</v>
      </c>
      <c r="R5" s="22" t="s">
        <v>29</v>
      </c>
      <c r="S5" s="22" t="s">
        <v>30</v>
      </c>
      <c r="T5" s="22" t="s">
        <v>31</v>
      </c>
      <c r="U5" s="22" t="s">
        <v>28</v>
      </c>
      <c r="V5" s="22" t="s">
        <v>29</v>
      </c>
      <c r="W5" s="22" t="s">
        <v>30</v>
      </c>
      <c r="X5" s="22" t="s">
        <v>32</v>
      </c>
      <c r="Y5" s="22" t="s">
        <v>33</v>
      </c>
      <c r="Z5" s="22" t="s">
        <v>34</v>
      </c>
      <c r="AA5" s="22" t="s">
        <v>35</v>
      </c>
      <c r="AB5" s="262"/>
      <c r="AC5" s="20" t="s">
        <v>36</v>
      </c>
      <c r="AD5" s="20" t="s">
        <v>37</v>
      </c>
      <c r="AE5" s="13" t="s">
        <v>33</v>
      </c>
      <c r="AF5" s="13" t="s">
        <v>34</v>
      </c>
      <c r="AG5" s="13" t="s">
        <v>35</v>
      </c>
      <c r="AH5" s="13" t="s">
        <v>33</v>
      </c>
      <c r="AI5" s="13" t="s">
        <v>34</v>
      </c>
      <c r="AJ5" s="13" t="s">
        <v>35</v>
      </c>
      <c r="AK5" s="13" t="s">
        <v>38</v>
      </c>
      <c r="AL5" s="13" t="s">
        <v>39</v>
      </c>
      <c r="AM5" s="269"/>
    </row>
    <row r="6" spans="1:39" ht="39.75" customHeight="1" x14ac:dyDescent="0.15">
      <c r="A6" s="23"/>
      <c r="B6" s="24"/>
      <c r="C6" s="25"/>
      <c r="D6" s="25"/>
      <c r="E6" s="24" t="s">
        <v>40</v>
      </c>
      <c r="F6" s="24" t="s">
        <v>3</v>
      </c>
      <c r="G6" s="24"/>
      <c r="H6" s="26"/>
      <c r="I6" s="26"/>
      <c r="J6" s="26"/>
      <c r="K6" s="26"/>
      <c r="L6" s="26"/>
      <c r="M6" s="26"/>
      <c r="N6" s="26"/>
      <c r="O6" s="26">
        <v>3</v>
      </c>
      <c r="P6" s="26"/>
      <c r="Q6" s="26"/>
      <c r="R6" s="27"/>
      <c r="S6" s="26"/>
      <c r="T6" s="26"/>
      <c r="U6" s="26"/>
      <c r="V6" s="27"/>
      <c r="W6" s="26"/>
      <c r="X6" s="26"/>
      <c r="Y6" s="26"/>
      <c r="Z6" s="26"/>
      <c r="AA6" s="26"/>
    </row>
    <row r="7" spans="1:39" ht="40.5" customHeight="1" x14ac:dyDescent="0.15">
      <c r="A7" s="23">
        <v>1</v>
      </c>
      <c r="B7" s="28"/>
      <c r="C7" s="25" t="s">
        <v>41</v>
      </c>
      <c r="D7" s="25"/>
      <c r="E7" s="28" t="s">
        <v>41</v>
      </c>
      <c r="F7" s="29" t="s">
        <v>42</v>
      </c>
      <c r="G7" s="28" t="s">
        <v>43</v>
      </c>
      <c r="H7" s="30"/>
      <c r="I7" s="30"/>
      <c r="J7" s="30"/>
      <c r="K7" s="30"/>
      <c r="L7" s="30"/>
      <c r="M7" s="30">
        <f>ROUND(SUM(M8:M9),3)</f>
        <v>1008</v>
      </c>
      <c r="N7" s="30">
        <f>ROUND(SUM(N8:N9),3)</f>
        <v>1008</v>
      </c>
      <c r="O7" s="30"/>
      <c r="P7" s="30">
        <f>ROUND(SUM(O7:O9),3)</f>
        <v>1008</v>
      </c>
      <c r="Q7" s="27"/>
      <c r="R7" s="27"/>
      <c r="S7" s="27"/>
      <c r="T7" s="27"/>
      <c r="U7" s="27">
        <f>P7*Q7</f>
        <v>0</v>
      </c>
      <c r="V7" s="27">
        <f>P7*R7</f>
        <v>0</v>
      </c>
      <c r="W7" s="27">
        <f>P7*S7</f>
        <v>0</v>
      </c>
      <c r="X7" s="27">
        <f>P7*T7</f>
        <v>0</v>
      </c>
      <c r="Y7" s="31"/>
      <c r="Z7" s="31"/>
      <c r="AA7" s="31"/>
      <c r="AC7" s="32" t="s">
        <v>44</v>
      </c>
      <c r="AD7" s="32" t="s">
        <v>45</v>
      </c>
      <c r="AE7" s="33" t="s">
        <v>46</v>
      </c>
      <c r="AF7" s="33" t="s">
        <v>47</v>
      </c>
      <c r="AG7" s="33" t="s">
        <v>48</v>
      </c>
      <c r="AM7" s="32" t="s">
        <v>49</v>
      </c>
    </row>
    <row r="8" spans="1:39" ht="15.75" hidden="1" customHeight="1" x14ac:dyDescent="0.15">
      <c r="A8" s="23"/>
      <c r="B8" s="28"/>
      <c r="C8" s="25"/>
      <c r="D8" s="25"/>
      <c r="E8" s="28"/>
      <c r="F8" s="34" t="s">
        <v>50</v>
      </c>
      <c r="G8" s="28"/>
      <c r="H8" s="30">
        <f>11+81+3+24+4+28</f>
        <v>151</v>
      </c>
      <c r="I8" s="30">
        <v>6</v>
      </c>
      <c r="J8" s="30"/>
      <c r="K8" s="30"/>
      <c r="L8" s="30"/>
      <c r="M8" s="30">
        <f>ROUND(PRODUCT(H8:I8),3)</f>
        <v>906</v>
      </c>
      <c r="N8" s="30">
        <f>ROUND(PRODUCT(H8:J8),3)</f>
        <v>906</v>
      </c>
      <c r="O8" s="30">
        <f>ROUND(PRODUCT(H8:L8),3)</f>
        <v>906</v>
      </c>
      <c r="P8" s="30"/>
      <c r="Q8" s="27"/>
      <c r="R8" s="27"/>
      <c r="S8" s="27"/>
      <c r="T8" s="27"/>
      <c r="U8" s="27"/>
      <c r="V8" s="27"/>
      <c r="W8" s="27"/>
      <c r="X8" s="27"/>
      <c r="Y8" s="31"/>
      <c r="Z8" s="31"/>
      <c r="AA8" s="31"/>
    </row>
    <row r="9" spans="1:39" ht="15.75" hidden="1" customHeight="1" x14ac:dyDescent="0.15">
      <c r="A9" s="23"/>
      <c r="B9" s="28"/>
      <c r="C9" s="25"/>
      <c r="D9" s="25"/>
      <c r="E9" s="28"/>
      <c r="F9" s="34" t="s">
        <v>51</v>
      </c>
      <c r="G9" s="28"/>
      <c r="H9" s="30">
        <v>34</v>
      </c>
      <c r="I9" s="30">
        <v>3</v>
      </c>
      <c r="J9" s="30"/>
      <c r="K9" s="30"/>
      <c r="L9" s="30"/>
      <c r="M9" s="30">
        <f>ROUND(PRODUCT(H9:I9),3)</f>
        <v>102</v>
      </c>
      <c r="N9" s="30">
        <f>ROUND(PRODUCT(H9:J9),3)</f>
        <v>102</v>
      </c>
      <c r="O9" s="30">
        <f>ROUND(PRODUCT(H9:L9),3)</f>
        <v>102</v>
      </c>
      <c r="P9" s="30"/>
      <c r="Q9" s="27"/>
      <c r="R9" s="27"/>
      <c r="S9" s="27"/>
      <c r="T9" s="27"/>
      <c r="U9" s="27"/>
      <c r="V9" s="27"/>
      <c r="W9" s="27"/>
      <c r="X9" s="27"/>
      <c r="Y9" s="31"/>
      <c r="Z9" s="31"/>
      <c r="AA9" s="31"/>
    </row>
    <row r="10" spans="1:39" ht="39.75" customHeight="1" x14ac:dyDescent="0.15">
      <c r="A10" s="35"/>
      <c r="B10" s="36"/>
      <c r="C10" s="37"/>
      <c r="D10" s="37"/>
      <c r="E10" s="36" t="s">
        <v>52</v>
      </c>
      <c r="F10" s="36" t="s">
        <v>53</v>
      </c>
      <c r="G10" s="36"/>
      <c r="H10" s="38"/>
      <c r="I10" s="38"/>
      <c r="J10" s="38"/>
      <c r="K10" s="38"/>
      <c r="L10" s="38"/>
      <c r="M10" s="38"/>
      <c r="N10" s="38"/>
      <c r="O10" s="38"/>
      <c r="P10" s="38"/>
      <c r="Q10" s="38"/>
      <c r="R10" s="39"/>
      <c r="S10" s="38"/>
      <c r="T10" s="38"/>
      <c r="U10" s="38">
        <f>SUM(U7:U9)</f>
        <v>0</v>
      </c>
      <c r="V10" s="39">
        <f>SUM(V7:V9)</f>
        <v>0</v>
      </c>
      <c r="W10" s="38">
        <f>SUM(W7:W9)</f>
        <v>0</v>
      </c>
      <c r="X10" s="38">
        <f>SUM(X7:X9)</f>
        <v>0</v>
      </c>
      <c r="Y10" s="38"/>
      <c r="Z10" s="38"/>
      <c r="AA10" s="38"/>
    </row>
    <row r="11" spans="1:39" ht="28.5" customHeight="1" x14ac:dyDescent="0.15">
      <c r="A11" s="23"/>
      <c r="B11" s="24"/>
      <c r="C11" s="25"/>
      <c r="D11" s="25"/>
      <c r="E11" s="24" t="s">
        <v>40</v>
      </c>
      <c r="F11" s="24" t="s">
        <v>54</v>
      </c>
      <c r="G11" s="24"/>
      <c r="H11" s="26"/>
      <c r="I11" s="26"/>
      <c r="J11" s="26"/>
      <c r="K11" s="26"/>
      <c r="L11" s="26"/>
      <c r="M11" s="26"/>
      <c r="N11" s="26"/>
      <c r="O11" s="26"/>
      <c r="P11" s="26"/>
      <c r="Q11" s="26"/>
      <c r="R11" s="27"/>
      <c r="S11" s="26"/>
      <c r="T11" s="26"/>
      <c r="U11" s="26"/>
      <c r="V11" s="27"/>
      <c r="W11" s="26"/>
      <c r="X11" s="26"/>
      <c r="Y11" s="26"/>
      <c r="Z11" s="26"/>
      <c r="AA11" s="26"/>
    </row>
    <row r="12" spans="1:39" ht="28.5" customHeight="1" x14ac:dyDescent="0.15">
      <c r="A12" s="23">
        <v>1</v>
      </c>
      <c r="B12" s="28"/>
      <c r="C12" s="25" t="s">
        <v>55</v>
      </c>
      <c r="D12" s="25"/>
      <c r="E12" s="28" t="s">
        <v>55</v>
      </c>
      <c r="F12" s="29" t="s">
        <v>56</v>
      </c>
      <c r="G12" s="28" t="s">
        <v>57</v>
      </c>
      <c r="H12" s="30"/>
      <c r="I12" s="30"/>
      <c r="J12" s="30"/>
      <c r="K12" s="30"/>
      <c r="L12" s="30"/>
      <c r="M12" s="30"/>
      <c r="N12" s="30"/>
      <c r="O12" s="30"/>
      <c r="P12" s="30">
        <f>ROUND(SUM(O12:O14),3)</f>
        <v>22</v>
      </c>
      <c r="Q12" s="27"/>
      <c r="R12" s="27"/>
      <c r="S12" s="27"/>
      <c r="T12" s="27"/>
      <c r="U12" s="27">
        <f>P12*Q12</f>
        <v>0</v>
      </c>
      <c r="V12" s="27">
        <f>P12*R12</f>
        <v>0</v>
      </c>
      <c r="W12" s="27">
        <f>P12*S12</f>
        <v>0</v>
      </c>
      <c r="X12" s="27">
        <f>P12*T12</f>
        <v>0</v>
      </c>
      <c r="Y12" s="31"/>
      <c r="Z12" s="31"/>
      <c r="AA12" s="31"/>
      <c r="AC12" s="32" t="s">
        <v>58</v>
      </c>
      <c r="AD12" s="32" t="s">
        <v>45</v>
      </c>
      <c r="AE12" s="33" t="s">
        <v>59</v>
      </c>
      <c r="AF12" s="33" t="s">
        <v>60</v>
      </c>
      <c r="AG12" s="33" t="s">
        <v>61</v>
      </c>
      <c r="AM12" s="32" t="s">
        <v>49</v>
      </c>
    </row>
    <row r="13" spans="1:39" ht="15.75" hidden="1" customHeight="1" x14ac:dyDescent="0.15">
      <c r="A13" s="23"/>
      <c r="B13" s="28"/>
      <c r="C13" s="25"/>
      <c r="D13" s="25"/>
      <c r="E13" s="28"/>
      <c r="F13" s="34" t="s">
        <v>50</v>
      </c>
      <c r="G13" s="28"/>
      <c r="H13" s="30">
        <f>11+3+4</f>
        <v>18</v>
      </c>
      <c r="I13" s="30"/>
      <c r="J13" s="30"/>
      <c r="K13" s="30"/>
      <c r="L13" s="30"/>
      <c r="M13" s="30"/>
      <c r="N13" s="30"/>
      <c r="O13" s="30">
        <f>ROUND(PRODUCT(H13:L13),3)</f>
        <v>18</v>
      </c>
      <c r="P13" s="30"/>
      <c r="Q13" s="27"/>
      <c r="R13" s="27"/>
      <c r="S13" s="27"/>
      <c r="T13" s="27"/>
      <c r="U13" s="27"/>
      <c r="V13" s="27"/>
      <c r="W13" s="27"/>
      <c r="X13" s="27"/>
      <c r="Y13" s="31"/>
      <c r="Z13" s="31"/>
      <c r="AA13" s="31"/>
    </row>
    <row r="14" spans="1:39" ht="15.75" hidden="1" customHeight="1" x14ac:dyDescent="0.15">
      <c r="A14" s="23"/>
      <c r="B14" s="28"/>
      <c r="C14" s="25"/>
      <c r="D14" s="25"/>
      <c r="E14" s="28"/>
      <c r="F14" s="34" t="s">
        <v>51</v>
      </c>
      <c r="G14" s="28"/>
      <c r="H14" s="30">
        <v>4</v>
      </c>
      <c r="I14" s="30"/>
      <c r="J14" s="30"/>
      <c r="K14" s="30"/>
      <c r="L14" s="30"/>
      <c r="M14" s="30"/>
      <c r="N14" s="30"/>
      <c r="O14" s="30">
        <f>ROUND(PRODUCT(H14:L14),3)</f>
        <v>4</v>
      </c>
      <c r="P14" s="30"/>
      <c r="Q14" s="27"/>
      <c r="R14" s="27"/>
      <c r="S14" s="27"/>
      <c r="T14" s="27"/>
      <c r="U14" s="27"/>
      <c r="V14" s="27"/>
      <c r="W14" s="27"/>
      <c r="X14" s="27"/>
      <c r="Y14" s="31"/>
      <c r="Z14" s="31"/>
      <c r="AA14" s="31"/>
    </row>
    <row r="15" spans="1:39" ht="39.75" customHeight="1" x14ac:dyDescent="0.15">
      <c r="A15" s="35"/>
      <c r="B15" s="36"/>
      <c r="C15" s="37"/>
      <c r="D15" s="37"/>
      <c r="E15" s="36" t="s">
        <v>52</v>
      </c>
      <c r="F15" s="36" t="s">
        <v>62</v>
      </c>
      <c r="G15" s="36"/>
      <c r="H15" s="38"/>
      <c r="I15" s="38"/>
      <c r="J15" s="38"/>
      <c r="K15" s="38"/>
      <c r="L15" s="38"/>
      <c r="M15" s="38"/>
      <c r="N15" s="38"/>
      <c r="O15" s="38"/>
      <c r="P15" s="38"/>
      <c r="Q15" s="38"/>
      <c r="R15" s="39"/>
      <c r="S15" s="38"/>
      <c r="T15" s="38"/>
      <c r="U15" s="38">
        <f>SUM(U12:U14)</f>
        <v>0</v>
      </c>
      <c r="V15" s="39">
        <f>SUM(V12:V14)</f>
        <v>0</v>
      </c>
      <c r="W15" s="38">
        <f>SUM(W12:W14)</f>
        <v>0</v>
      </c>
      <c r="X15" s="38">
        <f>SUM(X12:X14)</f>
        <v>0</v>
      </c>
      <c r="Y15" s="38"/>
      <c r="Z15" s="38"/>
      <c r="AA15" s="38"/>
    </row>
    <row r="16" spans="1:39" ht="15" customHeight="1" x14ac:dyDescent="0.15">
      <c r="A16" s="40"/>
      <c r="B16" s="41"/>
      <c r="E16" s="41"/>
      <c r="F16" s="42"/>
      <c r="G16" s="41"/>
      <c r="H16" s="43"/>
      <c r="I16" s="43"/>
      <c r="J16" s="43"/>
      <c r="K16" s="43"/>
      <c r="L16" s="43"/>
      <c r="M16" s="43"/>
      <c r="N16" s="43"/>
      <c r="O16" s="43"/>
      <c r="P16" s="43"/>
      <c r="Q16" s="44"/>
      <c r="R16" s="44"/>
      <c r="S16" s="44"/>
      <c r="T16" s="44"/>
      <c r="U16" s="44"/>
      <c r="V16" s="44"/>
      <c r="W16" s="44"/>
      <c r="X16" s="44"/>
      <c r="Y16" s="45"/>
      <c r="Z16" s="45"/>
      <c r="AA16" s="45"/>
    </row>
    <row r="17" spans="1:27" ht="15" customHeight="1" x14ac:dyDescent="0.15">
      <c r="A17" s="40"/>
      <c r="B17" s="41"/>
      <c r="E17" s="41"/>
      <c r="F17" s="42"/>
      <c r="G17" s="41"/>
      <c r="H17" s="43"/>
      <c r="I17" s="43"/>
      <c r="J17" s="43"/>
      <c r="K17" s="43"/>
      <c r="L17" s="43"/>
      <c r="M17" s="43"/>
      <c r="N17" s="43"/>
      <c r="O17" s="43"/>
      <c r="P17" s="43"/>
      <c r="Q17" s="44"/>
      <c r="R17" s="44"/>
      <c r="S17" s="44"/>
      <c r="T17" s="44"/>
      <c r="U17" s="44"/>
      <c r="V17" s="44"/>
      <c r="W17" s="44"/>
      <c r="X17" s="44"/>
      <c r="Y17" s="45"/>
      <c r="Z17" s="45"/>
      <c r="AA17" s="45"/>
    </row>
    <row r="18" spans="1:27" ht="15" customHeight="1" x14ac:dyDescent="0.15">
      <c r="A18" s="40"/>
      <c r="B18" s="41"/>
      <c r="E18" s="41"/>
      <c r="F18" s="42"/>
      <c r="G18" s="41"/>
      <c r="H18" s="43"/>
      <c r="I18" s="43"/>
      <c r="J18" s="43"/>
      <c r="K18" s="43"/>
      <c r="L18" s="43"/>
      <c r="M18" s="43"/>
      <c r="N18" s="43"/>
      <c r="O18" s="43"/>
      <c r="P18" s="43"/>
      <c r="Q18" s="44"/>
      <c r="R18" s="44"/>
      <c r="S18" s="44"/>
      <c r="T18" s="44"/>
      <c r="U18" s="44"/>
      <c r="V18" s="44"/>
      <c r="W18" s="44"/>
      <c r="X18" s="44"/>
      <c r="Y18" s="45"/>
      <c r="Z18" s="45"/>
      <c r="AA18" s="45"/>
    </row>
    <row r="19" spans="1:27" ht="15" customHeight="1" x14ac:dyDescent="0.15">
      <c r="A19" s="40"/>
      <c r="B19" s="41"/>
      <c r="E19" s="41"/>
      <c r="F19" s="42"/>
      <c r="G19" s="41"/>
      <c r="H19" s="43"/>
      <c r="I19" s="43"/>
      <c r="J19" s="43"/>
      <c r="K19" s="43"/>
      <c r="L19" s="43"/>
      <c r="M19" s="43"/>
      <c r="N19" s="43"/>
      <c r="O19" s="43"/>
      <c r="P19" s="43"/>
      <c r="Q19" s="44"/>
      <c r="R19" s="44"/>
      <c r="S19" s="44"/>
      <c r="T19" s="44"/>
      <c r="U19" s="44"/>
      <c r="V19" s="44"/>
      <c r="W19" s="44"/>
      <c r="X19" s="44"/>
      <c r="Y19" s="45"/>
      <c r="Z19" s="45"/>
      <c r="AA19" s="45"/>
    </row>
    <row r="20" spans="1:27" ht="15" customHeight="1" x14ac:dyDescent="0.15">
      <c r="A20" s="40"/>
      <c r="B20" s="41"/>
      <c r="E20" s="41"/>
      <c r="F20" s="42"/>
      <c r="G20" s="41"/>
      <c r="H20" s="43"/>
      <c r="I20" s="43"/>
      <c r="J20" s="43"/>
      <c r="K20" s="43"/>
      <c r="L20" s="43"/>
      <c r="M20" s="43"/>
      <c r="N20" s="43"/>
      <c r="O20" s="43"/>
      <c r="P20" s="43"/>
      <c r="Q20" s="44"/>
      <c r="R20" s="44"/>
      <c r="S20" s="44"/>
      <c r="T20" s="44"/>
      <c r="U20" s="44"/>
      <c r="V20" s="44"/>
      <c r="W20" s="44"/>
      <c r="X20" s="44"/>
      <c r="Y20" s="45"/>
      <c r="Z20" s="45"/>
      <c r="AA20" s="45"/>
    </row>
    <row r="21" spans="1:27" ht="15" customHeight="1" x14ac:dyDescent="0.15">
      <c r="A21" s="40"/>
      <c r="B21" s="41"/>
      <c r="E21" s="41"/>
      <c r="F21" s="42"/>
      <c r="G21" s="41"/>
      <c r="H21" s="43"/>
      <c r="I21" s="43"/>
      <c r="J21" s="43"/>
      <c r="K21" s="43"/>
      <c r="L21" s="43"/>
      <c r="M21" s="43"/>
      <c r="N21" s="43"/>
      <c r="O21" s="43"/>
      <c r="P21" s="43"/>
      <c r="Q21" s="44"/>
      <c r="R21" s="44"/>
      <c r="S21" s="44"/>
      <c r="T21" s="44"/>
      <c r="U21" s="44"/>
      <c r="V21" s="44"/>
      <c r="W21" s="44"/>
      <c r="X21" s="44"/>
      <c r="Y21" s="45"/>
      <c r="Z21" s="45"/>
      <c r="AA21" s="45"/>
    </row>
    <row r="22" spans="1:27" ht="15" customHeight="1" x14ac:dyDescent="0.15">
      <c r="A22" s="40"/>
      <c r="B22" s="41"/>
      <c r="E22" s="41"/>
      <c r="F22" s="42"/>
      <c r="G22" s="41"/>
      <c r="H22" s="43"/>
      <c r="I22" s="43"/>
      <c r="J22" s="43"/>
      <c r="K22" s="43"/>
      <c r="L22" s="43"/>
      <c r="M22" s="43"/>
      <c r="N22" s="43"/>
      <c r="O22" s="43"/>
      <c r="P22" s="43"/>
      <c r="Q22" s="44"/>
      <c r="R22" s="44"/>
      <c r="S22" s="44"/>
      <c r="T22" s="44"/>
      <c r="U22" s="44"/>
      <c r="V22" s="44"/>
      <c r="W22" s="44"/>
      <c r="X22" s="44"/>
      <c r="Y22" s="45"/>
      <c r="Z22" s="45"/>
      <c r="AA22" s="45"/>
    </row>
    <row r="23" spans="1:27" ht="15" customHeight="1" x14ac:dyDescent="0.15">
      <c r="A23" s="40"/>
      <c r="B23" s="41"/>
      <c r="E23" s="41"/>
      <c r="F23" s="42"/>
      <c r="G23" s="41"/>
      <c r="H23" s="43"/>
      <c r="I23" s="43"/>
      <c r="J23" s="43"/>
      <c r="K23" s="43"/>
      <c r="L23" s="43"/>
      <c r="M23" s="43"/>
      <c r="N23" s="43"/>
      <c r="O23" s="43"/>
      <c r="P23" s="43"/>
      <c r="Q23" s="44"/>
      <c r="R23" s="44"/>
      <c r="S23" s="44"/>
      <c r="T23" s="44"/>
      <c r="U23" s="44"/>
      <c r="V23" s="44"/>
      <c r="W23" s="44"/>
      <c r="X23" s="44"/>
      <c r="Y23" s="45"/>
      <c r="Z23" s="45"/>
      <c r="AA23" s="45"/>
    </row>
    <row r="24" spans="1:27" ht="15" customHeight="1" x14ac:dyDescent="0.15">
      <c r="A24" s="40"/>
      <c r="B24" s="41"/>
      <c r="E24" s="41"/>
      <c r="F24" s="42"/>
      <c r="G24" s="41"/>
      <c r="H24" s="43"/>
      <c r="I24" s="43"/>
      <c r="J24" s="43"/>
      <c r="K24" s="43"/>
      <c r="L24" s="43"/>
      <c r="M24" s="43"/>
      <c r="N24" s="43"/>
      <c r="O24" s="43"/>
      <c r="P24" s="43"/>
      <c r="Q24" s="44"/>
      <c r="R24" s="44"/>
      <c r="S24" s="44"/>
      <c r="T24" s="44"/>
      <c r="U24" s="44"/>
      <c r="V24" s="44"/>
      <c r="W24" s="44"/>
      <c r="X24" s="44"/>
      <c r="Y24" s="45"/>
      <c r="Z24" s="45"/>
      <c r="AA24" s="45"/>
    </row>
    <row r="25" spans="1:27" ht="15" customHeight="1" x14ac:dyDescent="0.15">
      <c r="A25" s="40"/>
      <c r="B25" s="41"/>
      <c r="E25" s="41"/>
      <c r="F25" s="42"/>
      <c r="G25" s="41"/>
      <c r="H25" s="43"/>
      <c r="I25" s="43"/>
      <c r="J25" s="43"/>
      <c r="K25" s="43"/>
      <c r="L25" s="43"/>
      <c r="M25" s="43"/>
      <c r="N25" s="43"/>
      <c r="O25" s="43"/>
      <c r="P25" s="43"/>
      <c r="Q25" s="44"/>
      <c r="R25" s="44"/>
      <c r="S25" s="44"/>
      <c r="T25" s="44"/>
      <c r="U25" s="44"/>
      <c r="V25" s="44"/>
      <c r="W25" s="44"/>
      <c r="X25" s="44"/>
      <c r="Y25" s="45"/>
      <c r="Z25" s="45"/>
      <c r="AA25" s="45"/>
    </row>
    <row r="26" spans="1:27" ht="15" customHeight="1" x14ac:dyDescent="0.15">
      <c r="A26" s="40"/>
      <c r="B26" s="41"/>
      <c r="E26" s="41"/>
      <c r="F26" s="42"/>
      <c r="G26" s="41"/>
      <c r="H26" s="43"/>
      <c r="I26" s="43"/>
      <c r="J26" s="43"/>
      <c r="K26" s="43"/>
      <c r="L26" s="43"/>
      <c r="M26" s="43"/>
      <c r="N26" s="43"/>
      <c r="O26" s="43"/>
      <c r="P26" s="43"/>
      <c r="Q26" s="44"/>
      <c r="R26" s="44"/>
      <c r="S26" s="44"/>
      <c r="T26" s="44"/>
      <c r="U26" s="44"/>
      <c r="V26" s="44"/>
      <c r="W26" s="44"/>
      <c r="X26" s="44"/>
      <c r="Y26" s="45"/>
      <c r="Z26" s="45"/>
      <c r="AA26" s="45"/>
    </row>
    <row r="27" spans="1:27" ht="15" customHeight="1" x14ac:dyDescent="0.15">
      <c r="A27" s="40"/>
      <c r="B27" s="41"/>
      <c r="E27" s="41"/>
      <c r="F27" s="42"/>
      <c r="G27" s="41"/>
      <c r="H27" s="43"/>
      <c r="I27" s="43"/>
      <c r="J27" s="43"/>
      <c r="K27" s="43"/>
      <c r="L27" s="43"/>
      <c r="M27" s="43"/>
      <c r="N27" s="43"/>
      <c r="O27" s="43"/>
      <c r="P27" s="43"/>
      <c r="Q27" s="44"/>
      <c r="R27" s="44"/>
      <c r="S27" s="44"/>
      <c r="T27" s="44"/>
      <c r="U27" s="44"/>
      <c r="V27" s="44"/>
      <c r="W27" s="44"/>
      <c r="X27" s="44"/>
      <c r="Y27" s="45"/>
      <c r="Z27" s="45"/>
      <c r="AA27" s="45"/>
    </row>
    <row r="28" spans="1:27" ht="15" customHeight="1" x14ac:dyDescent="0.15">
      <c r="A28" s="40"/>
      <c r="B28" s="41"/>
      <c r="E28" s="41"/>
      <c r="F28" s="42"/>
      <c r="G28" s="41"/>
      <c r="H28" s="43"/>
      <c r="I28" s="43"/>
      <c r="J28" s="43"/>
      <c r="K28" s="43"/>
      <c r="L28" s="43"/>
      <c r="M28" s="43"/>
      <c r="N28" s="43"/>
      <c r="O28" s="43"/>
      <c r="P28" s="43"/>
      <c r="Q28" s="44"/>
      <c r="R28" s="44"/>
      <c r="S28" s="44"/>
      <c r="T28" s="44"/>
      <c r="U28" s="44"/>
      <c r="V28" s="44"/>
      <c r="W28" s="44"/>
      <c r="X28" s="44"/>
      <c r="Y28" s="45"/>
      <c r="Z28" s="45"/>
      <c r="AA28" s="45"/>
    </row>
    <row r="29" spans="1:27" ht="15" customHeight="1" x14ac:dyDescent="0.15">
      <c r="A29" s="40"/>
      <c r="B29" s="41"/>
      <c r="E29" s="41"/>
      <c r="F29" s="42"/>
      <c r="G29" s="41"/>
      <c r="H29" s="43"/>
      <c r="I29" s="43"/>
      <c r="J29" s="43"/>
      <c r="K29" s="43"/>
      <c r="L29" s="43"/>
      <c r="M29" s="43"/>
      <c r="N29" s="43"/>
      <c r="O29" s="43"/>
      <c r="P29" s="43"/>
      <c r="Q29" s="44"/>
      <c r="R29" s="44"/>
      <c r="S29" s="44"/>
      <c r="T29" s="44"/>
      <c r="U29" s="44"/>
      <c r="V29" s="44"/>
      <c r="W29" s="44"/>
      <c r="X29" s="44"/>
      <c r="Y29" s="45"/>
      <c r="Z29" s="45"/>
      <c r="AA29" s="45"/>
    </row>
    <row r="30" spans="1:27" ht="15" customHeight="1" x14ac:dyDescent="0.15">
      <c r="A30" s="40"/>
      <c r="B30" s="41"/>
      <c r="E30" s="41"/>
      <c r="F30" s="42"/>
      <c r="G30" s="41"/>
      <c r="H30" s="43"/>
      <c r="I30" s="43"/>
      <c r="J30" s="43"/>
      <c r="K30" s="43"/>
      <c r="L30" s="43"/>
      <c r="M30" s="43"/>
      <c r="N30" s="43"/>
      <c r="O30" s="43"/>
      <c r="P30" s="43"/>
      <c r="Q30" s="44"/>
      <c r="R30" s="44"/>
      <c r="S30" s="44"/>
      <c r="T30" s="44"/>
      <c r="U30" s="44"/>
      <c r="V30" s="44"/>
      <c r="W30" s="44"/>
      <c r="X30" s="44"/>
      <c r="Y30" s="45"/>
      <c r="Z30" s="45"/>
      <c r="AA30" s="45"/>
    </row>
    <row r="31" spans="1:27" ht="15" customHeight="1" x14ac:dyDescent="0.15">
      <c r="A31" s="40"/>
      <c r="B31" s="41"/>
      <c r="E31" s="41"/>
      <c r="F31" s="42"/>
      <c r="G31" s="41"/>
      <c r="H31" s="43"/>
      <c r="I31" s="43"/>
      <c r="J31" s="43"/>
      <c r="K31" s="43"/>
      <c r="L31" s="43"/>
      <c r="M31" s="43"/>
      <c r="N31" s="43"/>
      <c r="O31" s="43"/>
      <c r="P31" s="43"/>
      <c r="Q31" s="44"/>
      <c r="R31" s="44"/>
      <c r="S31" s="44"/>
      <c r="T31" s="44"/>
      <c r="U31" s="44"/>
      <c r="V31" s="44"/>
      <c r="W31" s="44"/>
      <c r="X31" s="44"/>
      <c r="Y31" s="45"/>
      <c r="Z31" s="45"/>
      <c r="AA31" s="45"/>
    </row>
    <row r="32" spans="1:27" ht="15" customHeight="1" x14ac:dyDescent="0.15">
      <c r="A32" s="40"/>
      <c r="B32" s="41"/>
      <c r="E32" s="41"/>
      <c r="F32" s="42"/>
      <c r="G32" s="41"/>
      <c r="H32" s="43"/>
      <c r="I32" s="43"/>
      <c r="J32" s="43"/>
      <c r="K32" s="43"/>
      <c r="L32" s="43"/>
      <c r="M32" s="43"/>
      <c r="N32" s="43"/>
      <c r="O32" s="43"/>
      <c r="P32" s="43"/>
      <c r="Q32" s="44"/>
      <c r="R32" s="44"/>
      <c r="S32" s="44"/>
      <c r="T32" s="44"/>
      <c r="U32" s="44"/>
      <c r="V32" s="44"/>
      <c r="W32" s="44"/>
      <c r="X32" s="44"/>
      <c r="Y32" s="45"/>
      <c r="Z32" s="45"/>
      <c r="AA32" s="45"/>
    </row>
    <row r="33" spans="1:27" ht="15" customHeight="1" x14ac:dyDescent="0.15">
      <c r="A33" s="40"/>
      <c r="B33" s="41"/>
      <c r="E33" s="41"/>
      <c r="F33" s="42"/>
      <c r="G33" s="41"/>
      <c r="H33" s="43"/>
      <c r="I33" s="43"/>
      <c r="J33" s="43"/>
      <c r="K33" s="43"/>
      <c r="L33" s="43"/>
      <c r="M33" s="43"/>
      <c r="N33" s="43"/>
      <c r="O33" s="43"/>
      <c r="P33" s="43"/>
      <c r="Q33" s="44"/>
      <c r="R33" s="44"/>
      <c r="S33" s="44"/>
      <c r="T33" s="44"/>
      <c r="U33" s="44"/>
      <c r="V33" s="44"/>
      <c r="W33" s="44"/>
      <c r="X33" s="44"/>
      <c r="Y33" s="45"/>
      <c r="Z33" s="45"/>
      <c r="AA33" s="45"/>
    </row>
    <row r="34" spans="1:27" ht="15" customHeight="1" x14ac:dyDescent="0.15">
      <c r="A34" s="40"/>
      <c r="B34" s="41"/>
      <c r="E34" s="41"/>
      <c r="F34" s="42"/>
      <c r="G34" s="41"/>
      <c r="H34" s="43"/>
      <c r="I34" s="43"/>
      <c r="J34" s="43"/>
      <c r="K34" s="43"/>
      <c r="L34" s="43"/>
      <c r="M34" s="43"/>
      <c r="N34" s="43"/>
      <c r="O34" s="43"/>
      <c r="P34" s="43"/>
      <c r="Q34" s="44"/>
      <c r="R34" s="44"/>
      <c r="S34" s="44"/>
      <c r="T34" s="44"/>
      <c r="U34" s="44"/>
      <c r="V34" s="44"/>
      <c r="W34" s="44"/>
      <c r="X34" s="44"/>
      <c r="Y34" s="45"/>
      <c r="Z34" s="45"/>
      <c r="AA34" s="45"/>
    </row>
    <row r="35" spans="1:27" ht="15" customHeight="1" x14ac:dyDescent="0.15">
      <c r="A35" s="40"/>
      <c r="B35" s="41"/>
      <c r="E35" s="41"/>
      <c r="F35" s="42"/>
      <c r="G35" s="41"/>
      <c r="H35" s="43"/>
      <c r="I35" s="43"/>
      <c r="J35" s="43"/>
      <c r="K35" s="43"/>
      <c r="L35" s="43"/>
      <c r="M35" s="43"/>
      <c r="N35" s="43"/>
      <c r="O35" s="43"/>
      <c r="P35" s="43"/>
      <c r="Q35" s="44"/>
      <c r="R35" s="44"/>
      <c r="S35" s="44"/>
      <c r="T35" s="44"/>
      <c r="U35" s="44"/>
      <c r="V35" s="44"/>
      <c r="W35" s="44"/>
      <c r="X35" s="44"/>
      <c r="Y35" s="45"/>
      <c r="Z35" s="45"/>
      <c r="AA35" s="45"/>
    </row>
    <row r="36" spans="1:27" ht="15" customHeight="1" x14ac:dyDescent="0.15">
      <c r="A36" s="40"/>
      <c r="B36" s="41"/>
      <c r="E36" s="41"/>
      <c r="F36" s="42"/>
      <c r="G36" s="41"/>
      <c r="H36" s="43"/>
      <c r="I36" s="43"/>
      <c r="J36" s="43"/>
      <c r="K36" s="43"/>
      <c r="L36" s="43"/>
      <c r="M36" s="43"/>
      <c r="N36" s="43"/>
      <c r="O36" s="43"/>
      <c r="P36" s="43"/>
      <c r="Q36" s="44"/>
      <c r="R36" s="44"/>
      <c r="S36" s="44"/>
      <c r="T36" s="44"/>
      <c r="U36" s="44"/>
      <c r="V36" s="44"/>
      <c r="W36" s="44"/>
      <c r="X36" s="44"/>
      <c r="Y36" s="45"/>
      <c r="Z36" s="45"/>
      <c r="AA36" s="45"/>
    </row>
    <row r="37" spans="1:27" ht="15" customHeight="1" x14ac:dyDescent="0.15">
      <c r="A37" s="40"/>
      <c r="B37" s="41"/>
      <c r="E37" s="41"/>
      <c r="F37" s="42"/>
      <c r="G37" s="41"/>
      <c r="H37" s="43"/>
      <c r="I37" s="43"/>
      <c r="J37" s="43"/>
      <c r="K37" s="43"/>
      <c r="L37" s="43"/>
      <c r="M37" s="43"/>
      <c r="N37" s="43"/>
      <c r="O37" s="43"/>
      <c r="P37" s="43"/>
      <c r="Q37" s="44"/>
      <c r="R37" s="44"/>
      <c r="S37" s="44"/>
      <c r="T37" s="44"/>
      <c r="U37" s="44"/>
      <c r="V37" s="44"/>
      <c r="W37" s="44"/>
      <c r="X37" s="44"/>
      <c r="Y37" s="45"/>
      <c r="Z37" s="45"/>
      <c r="AA37" s="45"/>
    </row>
    <row r="38" spans="1:27" ht="15" customHeight="1" x14ac:dyDescent="0.15">
      <c r="A38" s="40"/>
      <c r="B38" s="41"/>
      <c r="E38" s="41"/>
      <c r="F38" s="42"/>
      <c r="G38" s="41"/>
      <c r="H38" s="43"/>
      <c r="I38" s="43"/>
      <c r="J38" s="43"/>
      <c r="K38" s="43"/>
      <c r="L38" s="43"/>
      <c r="M38" s="43"/>
      <c r="N38" s="43"/>
      <c r="O38" s="43"/>
      <c r="P38" s="43"/>
      <c r="Q38" s="44"/>
      <c r="R38" s="44"/>
      <c r="S38" s="44"/>
      <c r="T38" s="44"/>
      <c r="U38" s="44"/>
      <c r="V38" s="44"/>
      <c r="W38" s="44"/>
      <c r="X38" s="44"/>
      <c r="Y38" s="45"/>
      <c r="Z38" s="45"/>
      <c r="AA38" s="45"/>
    </row>
    <row r="39" spans="1:27" ht="15" customHeight="1" x14ac:dyDescent="0.15">
      <c r="A39" s="40"/>
      <c r="B39" s="41"/>
      <c r="E39" s="41"/>
      <c r="F39" s="42"/>
      <c r="G39" s="41"/>
      <c r="H39" s="43"/>
      <c r="I39" s="43"/>
      <c r="J39" s="43"/>
      <c r="K39" s="43"/>
      <c r="L39" s="43"/>
      <c r="M39" s="43"/>
      <c r="N39" s="43"/>
      <c r="O39" s="43"/>
      <c r="P39" s="43"/>
      <c r="Q39" s="44"/>
      <c r="R39" s="44"/>
      <c r="S39" s="44"/>
      <c r="T39" s="44"/>
      <c r="U39" s="44"/>
      <c r="V39" s="44"/>
      <c r="W39" s="44"/>
      <c r="X39" s="44"/>
      <c r="Y39" s="45"/>
      <c r="Z39" s="45"/>
      <c r="AA39" s="45"/>
    </row>
    <row r="40" spans="1:27" ht="15" customHeight="1" x14ac:dyDescent="0.15">
      <c r="A40" s="40"/>
      <c r="B40" s="41"/>
      <c r="E40" s="41"/>
      <c r="F40" s="42"/>
      <c r="G40" s="41"/>
      <c r="H40" s="43"/>
      <c r="I40" s="43"/>
      <c r="J40" s="43"/>
      <c r="K40" s="43"/>
      <c r="L40" s="43"/>
      <c r="M40" s="43"/>
      <c r="N40" s="43"/>
      <c r="O40" s="43"/>
      <c r="P40" s="43"/>
      <c r="Q40" s="44"/>
      <c r="R40" s="44"/>
      <c r="S40" s="44"/>
      <c r="T40" s="44"/>
      <c r="U40" s="44"/>
      <c r="V40" s="44"/>
      <c r="W40" s="44"/>
      <c r="X40" s="44"/>
      <c r="Y40" s="45"/>
      <c r="Z40" s="45"/>
      <c r="AA40" s="45"/>
    </row>
    <row r="41" spans="1:27" ht="15" customHeight="1" x14ac:dyDescent="0.15">
      <c r="A41" s="40"/>
      <c r="B41" s="41"/>
      <c r="E41" s="41"/>
      <c r="F41" s="42"/>
      <c r="G41" s="41"/>
      <c r="H41" s="43"/>
      <c r="I41" s="43"/>
      <c r="J41" s="43"/>
      <c r="K41" s="43"/>
      <c r="L41" s="43"/>
      <c r="M41" s="43"/>
      <c r="N41" s="43"/>
      <c r="O41" s="43"/>
      <c r="P41" s="43"/>
      <c r="Q41" s="44"/>
      <c r="R41" s="44"/>
      <c r="S41" s="44"/>
      <c r="T41" s="44"/>
      <c r="U41" s="44"/>
      <c r="V41" s="44"/>
      <c r="W41" s="44"/>
      <c r="X41" s="44"/>
      <c r="Y41" s="45"/>
      <c r="Z41" s="45"/>
      <c r="AA41" s="45"/>
    </row>
    <row r="42" spans="1:27" ht="15" customHeight="1" x14ac:dyDescent="0.15">
      <c r="A42" s="40"/>
      <c r="B42" s="41"/>
      <c r="E42" s="41"/>
      <c r="F42" s="42"/>
      <c r="G42" s="41"/>
      <c r="H42" s="43"/>
      <c r="I42" s="43"/>
      <c r="J42" s="43"/>
      <c r="K42" s="43"/>
      <c r="L42" s="43"/>
      <c r="M42" s="43"/>
      <c r="N42" s="43"/>
      <c r="O42" s="43"/>
      <c r="P42" s="43"/>
      <c r="Q42" s="44"/>
      <c r="R42" s="44"/>
      <c r="S42" s="44"/>
      <c r="T42" s="44"/>
      <c r="U42" s="44"/>
      <c r="V42" s="44"/>
      <c r="W42" s="44"/>
      <c r="X42" s="44"/>
      <c r="Y42" s="45"/>
      <c r="Z42" s="45"/>
      <c r="AA42" s="45"/>
    </row>
    <row r="43" spans="1:27" ht="15" customHeight="1" x14ac:dyDescent="0.15">
      <c r="A43" s="40"/>
      <c r="B43" s="41"/>
      <c r="E43" s="41"/>
      <c r="F43" s="42"/>
      <c r="G43" s="41"/>
      <c r="H43" s="43"/>
      <c r="I43" s="43"/>
      <c r="J43" s="43"/>
      <c r="K43" s="43"/>
      <c r="L43" s="43"/>
      <c r="M43" s="43"/>
      <c r="N43" s="43"/>
      <c r="O43" s="43"/>
      <c r="P43" s="43"/>
      <c r="Q43" s="44"/>
      <c r="R43" s="44"/>
      <c r="S43" s="44"/>
      <c r="T43" s="44"/>
      <c r="U43" s="44"/>
      <c r="V43" s="44"/>
      <c r="W43" s="44"/>
      <c r="X43" s="44"/>
      <c r="Y43" s="45"/>
      <c r="Z43" s="45"/>
      <c r="AA43" s="45"/>
    </row>
    <row r="44" spans="1:27" ht="15" customHeight="1" x14ac:dyDescent="0.15">
      <c r="A44" s="40"/>
      <c r="B44" s="41"/>
      <c r="E44" s="41"/>
      <c r="F44" s="42"/>
      <c r="G44" s="41"/>
      <c r="H44" s="43"/>
      <c r="I44" s="43"/>
      <c r="J44" s="43"/>
      <c r="K44" s="43"/>
      <c r="L44" s="43"/>
      <c r="M44" s="43"/>
      <c r="N44" s="43"/>
      <c r="O44" s="43"/>
      <c r="P44" s="43"/>
      <c r="Q44" s="44"/>
      <c r="R44" s="44"/>
      <c r="S44" s="44"/>
      <c r="T44" s="44"/>
      <c r="U44" s="44"/>
      <c r="V44" s="44"/>
      <c r="W44" s="44"/>
      <c r="X44" s="44"/>
      <c r="Y44" s="45"/>
      <c r="Z44" s="45"/>
      <c r="AA44" s="45"/>
    </row>
    <row r="45" spans="1:27" ht="15" customHeight="1" x14ac:dyDescent="0.15">
      <c r="A45" s="40"/>
      <c r="B45" s="41"/>
      <c r="E45" s="41"/>
      <c r="F45" s="42"/>
      <c r="G45" s="41"/>
      <c r="H45" s="43"/>
      <c r="I45" s="43"/>
      <c r="J45" s="43"/>
      <c r="K45" s="43"/>
      <c r="L45" s="43"/>
      <c r="M45" s="43"/>
      <c r="N45" s="43"/>
      <c r="O45" s="43"/>
      <c r="P45" s="43"/>
      <c r="Q45" s="44"/>
      <c r="R45" s="44"/>
      <c r="S45" s="44"/>
      <c r="T45" s="44"/>
      <c r="U45" s="44"/>
      <c r="V45" s="44"/>
      <c r="W45" s="44"/>
      <c r="X45" s="44"/>
      <c r="Y45" s="45"/>
      <c r="Z45" s="45"/>
      <c r="AA45" s="45"/>
    </row>
    <row r="46" spans="1:27" ht="15" customHeight="1" x14ac:dyDescent="0.15">
      <c r="A46" s="40"/>
      <c r="B46" s="41"/>
      <c r="E46" s="41"/>
      <c r="F46" s="42"/>
      <c r="G46" s="41"/>
      <c r="H46" s="43"/>
      <c r="I46" s="43"/>
      <c r="J46" s="43"/>
      <c r="K46" s="43"/>
      <c r="L46" s="43"/>
      <c r="M46" s="43"/>
      <c r="N46" s="43"/>
      <c r="O46" s="43"/>
      <c r="P46" s="43"/>
      <c r="Q46" s="44"/>
      <c r="R46" s="44"/>
      <c r="S46" s="44"/>
      <c r="T46" s="44"/>
      <c r="U46" s="44"/>
      <c r="V46" s="44"/>
      <c r="W46" s="44"/>
      <c r="X46" s="44"/>
      <c r="Y46" s="45"/>
      <c r="Z46" s="45"/>
      <c r="AA46" s="45"/>
    </row>
    <row r="47" spans="1:27" ht="15" customHeight="1" x14ac:dyDescent="0.15">
      <c r="A47" s="40"/>
      <c r="B47" s="41"/>
      <c r="E47" s="41"/>
      <c r="F47" s="42"/>
      <c r="G47" s="41"/>
      <c r="H47" s="43"/>
      <c r="I47" s="43"/>
      <c r="J47" s="43"/>
      <c r="K47" s="43"/>
      <c r="L47" s="43"/>
      <c r="M47" s="43"/>
      <c r="N47" s="43"/>
      <c r="O47" s="43"/>
      <c r="P47" s="43"/>
      <c r="Q47" s="44"/>
      <c r="R47" s="44"/>
      <c r="S47" s="44"/>
      <c r="T47" s="44"/>
      <c r="U47" s="44"/>
      <c r="V47" s="44"/>
      <c r="W47" s="44"/>
      <c r="X47" s="44"/>
      <c r="Y47" s="45"/>
      <c r="Z47" s="45"/>
      <c r="AA47" s="45"/>
    </row>
    <row r="48" spans="1:27" ht="15" customHeight="1" x14ac:dyDescent="0.15">
      <c r="A48" s="40"/>
      <c r="B48" s="41"/>
      <c r="E48" s="41"/>
      <c r="F48" s="42"/>
      <c r="G48" s="41"/>
      <c r="H48" s="43"/>
      <c r="I48" s="43"/>
      <c r="J48" s="43"/>
      <c r="K48" s="43"/>
      <c r="L48" s="43"/>
      <c r="M48" s="43"/>
      <c r="N48" s="43"/>
      <c r="O48" s="43"/>
      <c r="P48" s="43"/>
      <c r="Q48" s="44"/>
      <c r="R48" s="44"/>
      <c r="S48" s="44"/>
      <c r="T48" s="44"/>
      <c r="U48" s="44"/>
      <c r="V48" s="44"/>
      <c r="W48" s="44"/>
      <c r="X48" s="44"/>
      <c r="Y48" s="45"/>
      <c r="Z48" s="45"/>
      <c r="AA48" s="45"/>
    </row>
    <row r="49" spans="1:27" ht="15" customHeight="1" x14ac:dyDescent="0.15">
      <c r="A49" s="40"/>
      <c r="B49" s="41"/>
      <c r="E49" s="41"/>
      <c r="F49" s="42"/>
      <c r="G49" s="41"/>
      <c r="H49" s="43"/>
      <c r="I49" s="43"/>
      <c r="J49" s="43"/>
      <c r="K49" s="43"/>
      <c r="L49" s="43"/>
      <c r="M49" s="43"/>
      <c r="N49" s="43"/>
      <c r="O49" s="43"/>
      <c r="P49" s="43"/>
      <c r="Q49" s="44"/>
      <c r="R49" s="44"/>
      <c r="S49" s="44"/>
      <c r="T49" s="44"/>
      <c r="U49" s="44"/>
      <c r="V49" s="44"/>
      <c r="W49" s="44"/>
      <c r="X49" s="44"/>
      <c r="Y49" s="45"/>
      <c r="Z49" s="45"/>
      <c r="AA49" s="45"/>
    </row>
    <row r="50" spans="1:27" ht="15" customHeight="1" x14ac:dyDescent="0.15">
      <c r="A50" s="40"/>
      <c r="B50" s="41"/>
      <c r="E50" s="41"/>
      <c r="F50" s="42"/>
      <c r="G50" s="41"/>
      <c r="H50" s="43"/>
      <c r="I50" s="43"/>
      <c r="J50" s="43"/>
      <c r="K50" s="43"/>
      <c r="L50" s="43"/>
      <c r="M50" s="43"/>
      <c r="N50" s="43"/>
      <c r="O50" s="43"/>
      <c r="P50" s="43"/>
      <c r="Q50" s="44"/>
      <c r="R50" s="44"/>
      <c r="S50" s="44"/>
      <c r="T50" s="44"/>
      <c r="U50" s="44"/>
      <c r="V50" s="44"/>
      <c r="W50" s="44"/>
      <c r="X50" s="44"/>
      <c r="Y50" s="45"/>
      <c r="Z50" s="45"/>
      <c r="AA50" s="45"/>
    </row>
    <row r="51" spans="1:27" ht="15" customHeight="1" x14ac:dyDescent="0.15">
      <c r="A51" s="40"/>
      <c r="B51" s="41"/>
      <c r="E51" s="41"/>
      <c r="F51" s="42"/>
      <c r="G51" s="41"/>
      <c r="H51" s="43"/>
      <c r="I51" s="43"/>
      <c r="J51" s="43"/>
      <c r="K51" s="43"/>
      <c r="L51" s="43"/>
      <c r="M51" s="43"/>
      <c r="N51" s="43"/>
      <c r="O51" s="43"/>
      <c r="P51" s="43"/>
      <c r="Q51" s="44"/>
      <c r="R51" s="44"/>
      <c r="S51" s="44"/>
      <c r="T51" s="44"/>
      <c r="U51" s="44"/>
      <c r="V51" s="44"/>
      <c r="W51" s="44"/>
      <c r="X51" s="44"/>
      <c r="Y51" s="45"/>
      <c r="Z51" s="45"/>
      <c r="AA51" s="45"/>
    </row>
    <row r="52" spans="1:27" ht="15" customHeight="1" x14ac:dyDescent="0.15">
      <c r="A52" s="40"/>
      <c r="B52" s="41"/>
      <c r="E52" s="41"/>
      <c r="F52" s="42"/>
      <c r="G52" s="41"/>
      <c r="H52" s="43"/>
      <c r="I52" s="43"/>
      <c r="J52" s="43"/>
      <c r="K52" s="43"/>
      <c r="L52" s="43"/>
      <c r="M52" s="43"/>
      <c r="N52" s="43"/>
      <c r="O52" s="43"/>
      <c r="P52" s="43"/>
      <c r="Q52" s="44"/>
      <c r="R52" s="44"/>
      <c r="S52" s="44"/>
      <c r="T52" s="44"/>
      <c r="U52" s="44"/>
      <c r="V52" s="44"/>
      <c r="W52" s="44"/>
      <c r="X52" s="44"/>
      <c r="Y52" s="45"/>
      <c r="Z52" s="45"/>
      <c r="AA52" s="45"/>
    </row>
    <row r="53" spans="1:27" ht="15" customHeight="1" x14ac:dyDescent="0.15">
      <c r="A53" s="40"/>
      <c r="B53" s="41"/>
      <c r="E53" s="41"/>
      <c r="F53" s="42"/>
      <c r="G53" s="41"/>
      <c r="H53" s="43"/>
      <c r="I53" s="43"/>
      <c r="J53" s="43"/>
      <c r="K53" s="43"/>
      <c r="L53" s="43"/>
      <c r="M53" s="43"/>
      <c r="N53" s="43"/>
      <c r="O53" s="43"/>
      <c r="P53" s="43"/>
      <c r="Q53" s="44"/>
      <c r="R53" s="44"/>
      <c r="S53" s="44"/>
      <c r="T53" s="44"/>
      <c r="U53" s="44"/>
      <c r="V53" s="44"/>
      <c r="W53" s="44"/>
      <c r="X53" s="44"/>
      <c r="Y53" s="45"/>
      <c r="Z53" s="45"/>
      <c r="AA53" s="45"/>
    </row>
    <row r="54" spans="1:27" ht="15" customHeight="1" x14ac:dyDescent="0.15">
      <c r="A54" s="40"/>
      <c r="B54" s="41"/>
      <c r="E54" s="41"/>
      <c r="F54" s="42"/>
      <c r="G54" s="41"/>
      <c r="H54" s="43"/>
      <c r="I54" s="43"/>
      <c r="J54" s="43"/>
      <c r="K54" s="43"/>
      <c r="L54" s="43"/>
      <c r="M54" s="43"/>
      <c r="N54" s="43"/>
      <c r="O54" s="43"/>
      <c r="P54" s="43"/>
      <c r="Q54" s="44"/>
      <c r="R54" s="44"/>
      <c r="S54" s="44"/>
      <c r="T54" s="44"/>
      <c r="U54" s="44"/>
      <c r="V54" s="44"/>
      <c r="W54" s="44"/>
      <c r="X54" s="44"/>
      <c r="Y54" s="45"/>
      <c r="Z54" s="45"/>
      <c r="AA54" s="45"/>
    </row>
    <row r="55" spans="1:27" ht="15" customHeight="1" x14ac:dyDescent="0.15">
      <c r="A55" s="40"/>
      <c r="B55" s="41"/>
      <c r="E55" s="41"/>
      <c r="F55" s="42"/>
      <c r="G55" s="41"/>
      <c r="H55" s="43"/>
      <c r="I55" s="43"/>
      <c r="J55" s="43"/>
      <c r="K55" s="43"/>
      <c r="L55" s="43"/>
      <c r="M55" s="43"/>
      <c r="N55" s="43"/>
      <c r="O55" s="43"/>
      <c r="P55" s="43"/>
      <c r="Q55" s="44"/>
      <c r="R55" s="44"/>
      <c r="S55" s="44"/>
      <c r="T55" s="44"/>
      <c r="U55" s="44"/>
      <c r="V55" s="44"/>
      <c r="W55" s="44"/>
      <c r="X55" s="44"/>
      <c r="Y55" s="45"/>
      <c r="Z55" s="45"/>
      <c r="AA55" s="45"/>
    </row>
    <row r="56" spans="1:27" ht="15" customHeight="1" x14ac:dyDescent="0.15">
      <c r="A56" s="40"/>
      <c r="B56" s="41"/>
      <c r="E56" s="41"/>
      <c r="F56" s="42"/>
      <c r="G56" s="41"/>
      <c r="H56" s="43"/>
      <c r="I56" s="43"/>
      <c r="J56" s="43"/>
      <c r="K56" s="43"/>
      <c r="L56" s="43"/>
      <c r="M56" s="43"/>
      <c r="N56" s="43"/>
      <c r="O56" s="43"/>
      <c r="P56" s="43"/>
      <c r="Q56" s="44"/>
      <c r="R56" s="44"/>
      <c r="S56" s="44"/>
      <c r="T56" s="44"/>
      <c r="U56" s="44"/>
      <c r="V56" s="44"/>
      <c r="W56" s="44"/>
      <c r="X56" s="44"/>
      <c r="Y56" s="45"/>
      <c r="Z56" s="45"/>
      <c r="AA56" s="45"/>
    </row>
    <row r="57" spans="1:27" ht="15" customHeight="1" x14ac:dyDescent="0.15">
      <c r="A57" s="40"/>
      <c r="B57" s="41"/>
      <c r="E57" s="41"/>
      <c r="F57" s="42"/>
      <c r="G57" s="41"/>
      <c r="H57" s="43"/>
      <c r="I57" s="43"/>
      <c r="J57" s="43"/>
      <c r="K57" s="43"/>
      <c r="L57" s="43"/>
      <c r="M57" s="43"/>
      <c r="N57" s="43"/>
      <c r="O57" s="43"/>
      <c r="P57" s="43"/>
      <c r="Q57" s="44"/>
      <c r="R57" s="44"/>
      <c r="S57" s="44"/>
      <c r="T57" s="44"/>
      <c r="U57" s="44"/>
      <c r="V57" s="44"/>
      <c r="W57" s="44"/>
      <c r="X57" s="44"/>
      <c r="Y57" s="45"/>
      <c r="Z57" s="45"/>
      <c r="AA57" s="45"/>
    </row>
    <row r="58" spans="1:27" ht="15" customHeight="1" x14ac:dyDescent="0.15">
      <c r="A58" s="40"/>
      <c r="B58" s="41"/>
      <c r="E58" s="41"/>
      <c r="F58" s="42"/>
      <c r="G58" s="41"/>
      <c r="H58" s="43"/>
      <c r="I58" s="43"/>
      <c r="J58" s="43"/>
      <c r="K58" s="43"/>
      <c r="L58" s="43"/>
      <c r="M58" s="43"/>
      <c r="N58" s="43"/>
      <c r="O58" s="43"/>
      <c r="P58" s="43"/>
      <c r="Q58" s="44"/>
      <c r="R58" s="44"/>
      <c r="S58" s="44"/>
      <c r="T58" s="44"/>
      <c r="U58" s="44"/>
      <c r="V58" s="44"/>
      <c r="W58" s="44"/>
      <c r="X58" s="44"/>
      <c r="Y58" s="45"/>
      <c r="Z58" s="45"/>
      <c r="AA58" s="45"/>
    </row>
    <row r="59" spans="1:27" ht="15" customHeight="1" x14ac:dyDescent="0.15">
      <c r="A59" s="40"/>
      <c r="B59" s="41"/>
      <c r="E59" s="41"/>
      <c r="F59" s="42"/>
      <c r="G59" s="41"/>
      <c r="H59" s="43"/>
      <c r="I59" s="43"/>
      <c r="J59" s="43"/>
      <c r="K59" s="43"/>
      <c r="L59" s="43"/>
      <c r="M59" s="43"/>
      <c r="N59" s="43"/>
      <c r="O59" s="43"/>
      <c r="P59" s="43"/>
      <c r="Q59" s="44"/>
      <c r="R59" s="44"/>
      <c r="S59" s="44"/>
      <c r="T59" s="44"/>
      <c r="U59" s="44"/>
      <c r="V59" s="44"/>
      <c r="W59" s="44"/>
      <c r="X59" s="44"/>
      <c r="Y59" s="45"/>
      <c r="Z59" s="45"/>
      <c r="AA59" s="45"/>
    </row>
    <row r="60" spans="1:27" ht="15" customHeight="1" x14ac:dyDescent="0.15">
      <c r="A60" s="40"/>
      <c r="B60" s="41"/>
      <c r="E60" s="41"/>
      <c r="F60" s="42"/>
      <c r="G60" s="41"/>
      <c r="H60" s="43"/>
      <c r="I60" s="43"/>
      <c r="J60" s="43"/>
      <c r="K60" s="43"/>
      <c r="L60" s="43"/>
      <c r="M60" s="43"/>
      <c r="N60" s="43"/>
      <c r="O60" s="43"/>
      <c r="P60" s="43"/>
      <c r="Q60" s="44"/>
      <c r="R60" s="44"/>
      <c r="S60" s="44"/>
      <c r="T60" s="44"/>
      <c r="U60" s="44"/>
      <c r="V60" s="44"/>
      <c r="W60" s="44"/>
      <c r="X60" s="44"/>
      <c r="Y60" s="45"/>
      <c r="Z60" s="45"/>
      <c r="AA60" s="45"/>
    </row>
    <row r="61" spans="1:27" ht="15" customHeight="1" x14ac:dyDescent="0.15">
      <c r="A61" s="40"/>
      <c r="B61" s="41"/>
      <c r="E61" s="41"/>
      <c r="F61" s="42"/>
      <c r="G61" s="41"/>
      <c r="H61" s="43"/>
      <c r="I61" s="43"/>
      <c r="J61" s="43"/>
      <c r="K61" s="43"/>
      <c r="L61" s="43"/>
      <c r="M61" s="43"/>
      <c r="N61" s="43"/>
      <c r="O61" s="43"/>
      <c r="P61" s="43"/>
      <c r="Q61" s="44"/>
      <c r="R61" s="44"/>
      <c r="S61" s="44"/>
      <c r="T61" s="44"/>
      <c r="U61" s="44"/>
      <c r="V61" s="44"/>
      <c r="W61" s="44"/>
      <c r="X61" s="44"/>
      <c r="Y61" s="45"/>
      <c r="Z61" s="45"/>
      <c r="AA61" s="45"/>
    </row>
    <row r="62" spans="1:27" ht="15" customHeight="1" x14ac:dyDescent="0.15">
      <c r="A62" s="40"/>
      <c r="B62" s="41"/>
      <c r="E62" s="41"/>
      <c r="F62" s="42"/>
      <c r="G62" s="41"/>
      <c r="H62" s="43"/>
      <c r="I62" s="43"/>
      <c r="J62" s="43"/>
      <c r="K62" s="43"/>
      <c r="L62" s="43"/>
      <c r="M62" s="43"/>
      <c r="N62" s="43"/>
      <c r="O62" s="43"/>
      <c r="P62" s="43"/>
      <c r="Q62" s="44"/>
      <c r="R62" s="44"/>
      <c r="S62" s="44"/>
      <c r="T62" s="44"/>
      <c r="U62" s="44"/>
      <c r="V62" s="44"/>
      <c r="W62" s="44"/>
      <c r="X62" s="44"/>
      <c r="Y62" s="45"/>
      <c r="Z62" s="45"/>
      <c r="AA62" s="45"/>
    </row>
    <row r="63" spans="1:27" ht="15" customHeight="1" x14ac:dyDescent="0.15">
      <c r="A63" s="40"/>
      <c r="B63" s="41"/>
      <c r="E63" s="41"/>
      <c r="F63" s="42"/>
      <c r="G63" s="41"/>
      <c r="H63" s="43"/>
      <c r="I63" s="43"/>
      <c r="J63" s="43"/>
      <c r="K63" s="43"/>
      <c r="L63" s="43"/>
      <c r="M63" s="43"/>
      <c r="N63" s="43"/>
      <c r="O63" s="43"/>
      <c r="P63" s="43"/>
      <c r="Q63" s="44"/>
      <c r="R63" s="44"/>
      <c r="S63" s="44"/>
      <c r="T63" s="44"/>
      <c r="U63" s="44"/>
      <c r="V63" s="44"/>
      <c r="W63" s="44"/>
      <c r="X63" s="44"/>
      <c r="Y63" s="45"/>
      <c r="Z63" s="45"/>
      <c r="AA63" s="45"/>
    </row>
    <row r="64" spans="1:27" ht="15" customHeight="1" x14ac:dyDescent="0.15">
      <c r="A64" s="40"/>
      <c r="B64" s="41"/>
      <c r="E64" s="41"/>
      <c r="F64" s="42"/>
      <c r="G64" s="41"/>
      <c r="H64" s="43"/>
      <c r="I64" s="43"/>
      <c r="J64" s="43"/>
      <c r="K64" s="43"/>
      <c r="L64" s="43"/>
      <c r="M64" s="43"/>
      <c r="N64" s="43"/>
      <c r="O64" s="43"/>
      <c r="P64" s="43"/>
      <c r="Q64" s="44"/>
      <c r="R64" s="44"/>
      <c r="S64" s="44"/>
      <c r="T64" s="44"/>
      <c r="U64" s="44"/>
      <c r="V64" s="44"/>
      <c r="W64" s="44"/>
      <c r="X64" s="44"/>
      <c r="Y64" s="45"/>
      <c r="Z64" s="45"/>
      <c r="AA64" s="45"/>
    </row>
    <row r="65" spans="1:27" ht="15" customHeight="1" x14ac:dyDescent="0.15">
      <c r="A65" s="40"/>
      <c r="B65" s="41"/>
      <c r="E65" s="41"/>
      <c r="F65" s="42"/>
      <c r="G65" s="41"/>
      <c r="H65" s="43"/>
      <c r="I65" s="43"/>
      <c r="J65" s="43"/>
      <c r="K65" s="43"/>
      <c r="L65" s="43"/>
      <c r="M65" s="43"/>
      <c r="N65" s="43"/>
      <c r="O65" s="43"/>
      <c r="P65" s="43"/>
      <c r="Q65" s="44"/>
      <c r="R65" s="44"/>
      <c r="S65" s="44"/>
      <c r="T65" s="44"/>
      <c r="U65" s="44"/>
      <c r="V65" s="44"/>
      <c r="W65" s="44"/>
      <c r="X65" s="44"/>
      <c r="Y65" s="45"/>
      <c r="Z65" s="45"/>
      <c r="AA65" s="45"/>
    </row>
  </sheetData>
  <mergeCells count="26">
    <mergeCell ref="A4:A5"/>
    <mergeCell ref="B4:B5"/>
    <mergeCell ref="C4:C5"/>
    <mergeCell ref="D4:D5"/>
    <mergeCell ref="E4:E5"/>
    <mergeCell ref="F4:F5"/>
    <mergeCell ref="G4:G5"/>
    <mergeCell ref="H4:H5"/>
    <mergeCell ref="I4:K4"/>
    <mergeCell ref="L4:L5"/>
    <mergeCell ref="AH4:AJ4"/>
    <mergeCell ref="AK4:AL4"/>
    <mergeCell ref="AM4:AM5"/>
    <mergeCell ref="A1:X1"/>
    <mergeCell ref="A3:X3"/>
    <mergeCell ref="A2:X2"/>
    <mergeCell ref="U4:X4"/>
    <mergeCell ref="Y4:AA4"/>
    <mergeCell ref="AB4:AB5"/>
    <mergeCell ref="AC4:AD4"/>
    <mergeCell ref="AE4:AG4"/>
    <mergeCell ref="M4:M5"/>
    <mergeCell ref="N4:N5"/>
    <mergeCell ref="O4:O5"/>
    <mergeCell ref="P4:P5"/>
    <mergeCell ref="Q4:T4"/>
  </mergeCells>
  <pageMargins left="1.2291666666666667" right="0" top="4.1666666666666664E-2" bottom="0.20833333333333334" header="0.57291666666666663" footer="0.40625"/>
  <pageSetup paperSize="0" orientation="landscape" blackAndWhite="1" useFirstPageNumber="1"/>
  <headerFooter>
    <oddFooter>&amp;C&amp;P</oddFooter>
  </headerFooter>
  <rowBreaks count="1" manualBreakCount="1">
    <brk id="10" max="3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
  <sheetViews>
    <sheetView workbookViewId="0">
      <pane ySplit="4" topLeftCell="A5" activePane="bottomLeft" state="frozen"/>
      <selection activeCell="D4" sqref="D4"/>
      <selection pane="bottomLeft" activeCell="J16" sqref="J16"/>
    </sheetView>
  </sheetViews>
  <sheetFormatPr defaultColWidth="10" defaultRowHeight="15" customHeight="1" x14ac:dyDescent="0.15"/>
  <cols>
    <col min="1" max="1" width="10" style="51" customWidth="1"/>
    <col min="2" max="2" width="15.83203125" style="51" customWidth="1"/>
    <col min="3" max="3" width="48.33203125" style="51" customWidth="1"/>
    <col min="4" max="4" width="11.6640625" style="51" customWidth="1"/>
    <col min="5" max="6" width="15" style="51" customWidth="1"/>
    <col min="7" max="7" width="9.1640625" style="51" customWidth="1"/>
    <col min="8" max="8" width="8.33203125" style="51" customWidth="1"/>
    <col min="9" max="9" width="15.83203125" style="51" customWidth="1"/>
    <col min="10" max="10" width="33.33203125" style="51" customWidth="1"/>
    <col min="11" max="11" width="100" style="51" customWidth="1"/>
    <col min="12" max="13" width="10" style="51" customWidth="1"/>
    <col min="14" max="16384" width="10" style="51"/>
  </cols>
  <sheetData>
    <row r="1" spans="1:11" ht="26.25" customHeight="1" x14ac:dyDescent="0.15">
      <c r="A1" s="258" t="s">
        <v>63</v>
      </c>
      <c r="B1" s="252"/>
      <c r="C1" s="252"/>
      <c r="D1" s="252"/>
      <c r="E1" s="252"/>
      <c r="F1" s="252"/>
      <c r="G1" s="252"/>
      <c r="H1" s="252"/>
      <c r="I1" s="252"/>
      <c r="J1" s="252"/>
      <c r="K1" s="252"/>
    </row>
    <row r="2" spans="1:11" ht="32.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52"/>
      <c r="C2" s="252"/>
      <c r="D2" s="252"/>
      <c r="E2" s="252"/>
      <c r="F2" s="252"/>
      <c r="G2" s="252"/>
      <c r="H2" s="252"/>
      <c r="I2" s="252"/>
      <c r="J2" s="252"/>
      <c r="K2" s="252"/>
    </row>
    <row r="4" spans="1:11" ht="41.25" customHeight="1" x14ac:dyDescent="0.15">
      <c r="A4" s="52" t="s">
        <v>4</v>
      </c>
      <c r="B4" s="19" t="s">
        <v>64</v>
      </c>
      <c r="C4" s="19" t="s">
        <v>65</v>
      </c>
      <c r="D4" s="19" t="s">
        <v>66</v>
      </c>
      <c r="E4" s="19" t="str">
        <f>"Giá gốc
"&amp;'Công trình'!AM1</f>
        <v>Giá gốc
(đ)</v>
      </c>
      <c r="F4" s="19" t="str">
        <f>"Giá tháng
"&amp;'Công trình'!AM1</f>
        <v>Giá tháng
(đ)</v>
      </c>
      <c r="G4" s="19" t="s">
        <v>67</v>
      </c>
      <c r="H4" s="19" t="s">
        <v>68</v>
      </c>
      <c r="I4" s="19" t="str">
        <f>"Giá sau VAT
"&amp;'Công trình'!AM1</f>
        <v>Giá sau VAT
(đ)</v>
      </c>
      <c r="J4" s="19" t="s">
        <v>69</v>
      </c>
      <c r="K4" s="19" t="s">
        <v>19</v>
      </c>
    </row>
    <row r="5" spans="1:11" ht="14.25" customHeight="1" x14ac:dyDescent="0.15">
      <c r="A5" s="53" t="s">
        <v>70</v>
      </c>
      <c r="B5" s="54"/>
      <c r="C5" s="54" t="s">
        <v>71</v>
      </c>
      <c r="D5" s="54"/>
      <c r="E5" s="55"/>
      <c r="F5" s="56"/>
      <c r="G5" s="55"/>
      <c r="H5" s="54"/>
      <c r="I5" s="55"/>
      <c r="J5" s="54"/>
      <c r="K5" s="54"/>
    </row>
    <row r="6" spans="1:11" ht="16.5" customHeight="1" x14ac:dyDescent="0.15">
      <c r="A6" s="57">
        <v>1</v>
      </c>
      <c r="B6" s="28" t="s">
        <v>72</v>
      </c>
      <c r="C6" s="25" t="s">
        <v>73</v>
      </c>
      <c r="D6" s="28" t="s">
        <v>74</v>
      </c>
      <c r="E6" s="58">
        <v>0</v>
      </c>
      <c r="F6" s="59">
        <v>200000</v>
      </c>
      <c r="G6" s="58">
        <v>1</v>
      </c>
      <c r="H6" s="60" t="b">
        <v>1</v>
      </c>
      <c r="I6" s="58">
        <v>216000</v>
      </c>
      <c r="J6" s="25" t="s">
        <v>75</v>
      </c>
      <c r="K6" s="25" t="s">
        <v>76</v>
      </c>
    </row>
    <row r="7" spans="1:11" ht="16.5" customHeight="1" x14ac:dyDescent="0.15">
      <c r="A7" s="57">
        <v>2</v>
      </c>
      <c r="B7" s="28" t="s">
        <v>77</v>
      </c>
      <c r="C7" s="25" t="s">
        <v>78</v>
      </c>
      <c r="D7" s="28" t="s">
        <v>74</v>
      </c>
      <c r="E7" s="58">
        <v>0</v>
      </c>
      <c r="F7" s="59">
        <v>768630</v>
      </c>
      <c r="G7" s="58">
        <v>1</v>
      </c>
      <c r="H7" s="60" t="b">
        <v>1</v>
      </c>
      <c r="I7" s="58">
        <v>830120.4</v>
      </c>
      <c r="J7" s="25" t="s">
        <v>79</v>
      </c>
      <c r="K7" s="25" t="s">
        <v>76</v>
      </c>
    </row>
    <row r="8" spans="1:11" ht="16.5" customHeight="1" x14ac:dyDescent="0.15">
      <c r="A8" s="57">
        <v>3</v>
      </c>
      <c r="B8" s="28" t="s">
        <v>80</v>
      </c>
      <c r="C8" s="25" t="s">
        <v>81</v>
      </c>
      <c r="D8" s="28" t="s">
        <v>74</v>
      </c>
      <c r="E8" s="58">
        <v>0</v>
      </c>
      <c r="F8" s="59">
        <v>70000</v>
      </c>
      <c r="G8" s="58">
        <v>1</v>
      </c>
      <c r="H8" s="60" t="b">
        <v>1</v>
      </c>
      <c r="I8" s="58">
        <v>75600</v>
      </c>
      <c r="J8" s="25" t="s">
        <v>82</v>
      </c>
      <c r="K8" s="25" t="s">
        <v>76</v>
      </c>
    </row>
    <row r="9" spans="1:11" ht="16.5" customHeight="1" x14ac:dyDescent="0.15">
      <c r="A9" s="61">
        <v>4</v>
      </c>
      <c r="B9" s="62" t="s">
        <v>83</v>
      </c>
      <c r="C9" s="37" t="s">
        <v>84</v>
      </c>
      <c r="D9" s="62" t="s">
        <v>74</v>
      </c>
      <c r="E9" s="63">
        <v>0</v>
      </c>
      <c r="F9" s="64">
        <v>13636</v>
      </c>
      <c r="G9" s="63">
        <v>1</v>
      </c>
      <c r="H9" s="65" t="b">
        <v>1</v>
      </c>
      <c r="I9" s="63">
        <v>14726.9</v>
      </c>
      <c r="J9" s="37" t="s">
        <v>82</v>
      </c>
      <c r="K9" s="37" t="s">
        <v>76</v>
      </c>
    </row>
    <row r="10" spans="1:11" ht="14.25" customHeight="1" x14ac:dyDescent="0.15">
      <c r="A10" s="53" t="s">
        <v>85</v>
      </c>
      <c r="B10" s="54"/>
      <c r="C10" s="54" t="s">
        <v>86</v>
      </c>
      <c r="D10" s="54"/>
      <c r="E10" s="55"/>
      <c r="F10" s="56"/>
      <c r="G10" s="55"/>
      <c r="H10" s="54"/>
      <c r="I10" s="55"/>
      <c r="J10" s="54"/>
      <c r="K10" s="54"/>
    </row>
    <row r="11" spans="1:11" ht="16.5" customHeight="1" x14ac:dyDescent="0.15">
      <c r="A11" s="57">
        <v>1</v>
      </c>
      <c r="B11" s="28" t="s">
        <v>87</v>
      </c>
      <c r="C11" s="25" t="s">
        <v>88</v>
      </c>
      <c r="D11" s="28" t="s">
        <v>89</v>
      </c>
      <c r="E11" s="58">
        <v>0</v>
      </c>
      <c r="F11" s="59">
        <f>'Nhân công'!T8</f>
        <v>435000</v>
      </c>
      <c r="G11" s="58">
        <v>1</v>
      </c>
      <c r="H11" s="60" t="b">
        <v>1</v>
      </c>
      <c r="I11" s="58"/>
      <c r="J11" s="25" t="s">
        <v>90</v>
      </c>
      <c r="K11" s="25" t="s">
        <v>91</v>
      </c>
    </row>
    <row r="12" spans="1:11" ht="16.5" customHeight="1" x14ac:dyDescent="0.15">
      <c r="A12" s="57">
        <v>2</v>
      </c>
      <c r="B12" s="28" t="s">
        <v>92</v>
      </c>
      <c r="C12" s="25" t="s">
        <v>93</v>
      </c>
      <c r="D12" s="28" t="s">
        <v>89</v>
      </c>
      <c r="E12" s="58">
        <v>0</v>
      </c>
      <c r="F12" s="59">
        <f>'Nhân công'!T9</f>
        <v>413000</v>
      </c>
      <c r="G12" s="58">
        <v>1</v>
      </c>
      <c r="H12" s="60" t="b">
        <v>1</v>
      </c>
      <c r="I12" s="58"/>
      <c r="J12" s="25" t="s">
        <v>92</v>
      </c>
      <c r="K12" s="25" t="s">
        <v>91</v>
      </c>
    </row>
    <row r="13" spans="1:11" ht="16.5" customHeight="1" x14ac:dyDescent="0.15">
      <c r="A13" s="61">
        <v>3</v>
      </c>
      <c r="B13" s="62" t="s">
        <v>94</v>
      </c>
      <c r="C13" s="37" t="s">
        <v>95</v>
      </c>
      <c r="D13" s="62" t="s">
        <v>89</v>
      </c>
      <c r="E13" s="63">
        <v>0</v>
      </c>
      <c r="F13" s="64">
        <f>'Nhân công'!T10</f>
        <v>427000</v>
      </c>
      <c r="G13" s="63">
        <v>1</v>
      </c>
      <c r="H13" s="65" t="b">
        <v>1</v>
      </c>
      <c r="I13" s="63"/>
      <c r="J13" s="37" t="s">
        <v>94</v>
      </c>
      <c r="K13" s="37" t="s">
        <v>91</v>
      </c>
    </row>
    <row r="14" spans="1:11" ht="14.25" customHeight="1" x14ac:dyDescent="0.15">
      <c r="A14" s="53" t="s">
        <v>96</v>
      </c>
      <c r="B14" s="54"/>
      <c r="C14" s="54" t="s">
        <v>97</v>
      </c>
      <c r="D14" s="54"/>
      <c r="E14" s="55"/>
      <c r="F14" s="56"/>
      <c r="G14" s="55"/>
      <c r="H14" s="54"/>
      <c r="I14" s="55"/>
      <c r="J14" s="54"/>
      <c r="K14" s="54"/>
    </row>
    <row r="15" spans="1:11" ht="16.5" customHeight="1" x14ac:dyDescent="0.15">
      <c r="A15" s="57">
        <v>1</v>
      </c>
      <c r="B15" s="28" t="s">
        <v>98</v>
      </c>
      <c r="C15" s="25" t="s">
        <v>99</v>
      </c>
      <c r="D15" s="28" t="s">
        <v>100</v>
      </c>
      <c r="E15" s="58">
        <v>0</v>
      </c>
      <c r="F15" s="59">
        <f>Máy!K6</f>
        <v>478189</v>
      </c>
      <c r="G15" s="58">
        <v>1</v>
      </c>
      <c r="H15" s="60" t="b">
        <v>1</v>
      </c>
      <c r="I15" s="58"/>
      <c r="J15" s="25" t="s">
        <v>101</v>
      </c>
      <c r="K15" s="25" t="s">
        <v>102</v>
      </c>
    </row>
    <row r="16" spans="1:11" ht="16.5" customHeight="1" x14ac:dyDescent="0.15">
      <c r="A16" s="57">
        <v>2</v>
      </c>
      <c r="B16" s="28" t="s">
        <v>103</v>
      </c>
      <c r="C16" s="25" t="s">
        <v>104</v>
      </c>
      <c r="D16" s="28" t="s">
        <v>100</v>
      </c>
      <c r="E16" s="58">
        <v>0</v>
      </c>
      <c r="F16" s="59">
        <f>Máy!K11</f>
        <v>2219339</v>
      </c>
      <c r="G16" s="58">
        <v>1</v>
      </c>
      <c r="H16" s="60" t="b">
        <v>1</v>
      </c>
      <c r="I16" s="58"/>
      <c r="J16" s="25" t="s">
        <v>105</v>
      </c>
      <c r="K16" s="25" t="s">
        <v>102</v>
      </c>
    </row>
    <row r="17" spans="1:11" ht="16.5" customHeight="1" x14ac:dyDescent="0.15">
      <c r="A17" s="61">
        <v>3</v>
      </c>
      <c r="B17" s="62" t="s">
        <v>106</v>
      </c>
      <c r="C17" s="37" t="s">
        <v>107</v>
      </c>
      <c r="D17" s="62" t="s">
        <v>100</v>
      </c>
      <c r="E17" s="63">
        <v>0</v>
      </c>
      <c r="F17" s="64">
        <f>Máy!K19</f>
        <v>2408258</v>
      </c>
      <c r="G17" s="63">
        <v>1</v>
      </c>
      <c r="H17" s="65" t="b">
        <v>1</v>
      </c>
      <c r="I17" s="63"/>
      <c r="J17" s="37" t="s">
        <v>108</v>
      </c>
      <c r="K17" s="37" t="s">
        <v>102</v>
      </c>
    </row>
  </sheetData>
  <mergeCells count="2">
    <mergeCell ref="A1:K1"/>
    <mergeCell ref="A2:K2"/>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7"/>
  <sheetViews>
    <sheetView workbookViewId="0">
      <selection activeCell="D6" sqref="D6"/>
    </sheetView>
  </sheetViews>
  <sheetFormatPr defaultColWidth="10" defaultRowHeight="15" customHeight="1" x14ac:dyDescent="0.15"/>
  <cols>
    <col min="1" max="1" width="10" style="46" customWidth="1"/>
    <col min="2" max="2" width="48.33203125" style="46" customWidth="1"/>
    <col min="3" max="3" width="11.6640625" style="46" customWidth="1"/>
    <col min="4" max="4" width="15" style="46" customWidth="1"/>
    <col min="5" max="5" width="38.33203125" style="46" customWidth="1"/>
    <col min="6" max="7" width="10" style="46" customWidth="1"/>
    <col min="8" max="16384" width="10" style="46"/>
  </cols>
  <sheetData>
    <row r="1" spans="1:5" ht="26.25" customHeight="1" x14ac:dyDescent="0.15">
      <c r="A1" s="258" t="s">
        <v>109</v>
      </c>
      <c r="B1" s="260"/>
      <c r="C1" s="260"/>
      <c r="D1" s="260"/>
    </row>
    <row r="2" spans="1:5" ht="73.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row>
    <row r="3" spans="1:5" s="66" customFormat="1" ht="37.5" customHeight="1" x14ac:dyDescent="0.25">
      <c r="A3" s="280" t="s">
        <v>110</v>
      </c>
      <c r="B3" s="281"/>
      <c r="C3" s="281"/>
      <c r="D3" s="281"/>
    </row>
    <row r="4" spans="1:5" ht="26.25" customHeight="1" x14ac:dyDescent="0.15">
      <c r="A4" s="52" t="s">
        <v>4</v>
      </c>
      <c r="B4" s="263" t="s">
        <v>111</v>
      </c>
      <c r="C4" s="264"/>
      <c r="D4" s="19" t="s">
        <v>112</v>
      </c>
    </row>
    <row r="5" spans="1:5" ht="15" hidden="1" customHeight="1" x14ac:dyDescent="0.15">
      <c r="A5" s="23"/>
      <c r="B5" s="282" t="s">
        <v>113</v>
      </c>
      <c r="C5" s="283"/>
      <c r="D5" s="67">
        <v>0</v>
      </c>
    </row>
    <row r="6" spans="1:5" ht="15" customHeight="1" x14ac:dyDescent="0.15">
      <c r="A6" s="23">
        <v>1</v>
      </c>
      <c r="B6" s="282" t="s">
        <v>114</v>
      </c>
      <c r="C6" s="283"/>
      <c r="D6" s="67">
        <v>0</v>
      </c>
      <c r="E6" s="260"/>
    </row>
    <row r="7" spans="1:5" ht="15" customHeight="1" x14ac:dyDescent="0.15">
      <c r="A7" s="23">
        <v>2</v>
      </c>
      <c r="B7" s="282" t="s">
        <v>115</v>
      </c>
      <c r="C7" s="283"/>
      <c r="D7" s="67">
        <v>26</v>
      </c>
      <c r="E7" s="260"/>
    </row>
    <row r="8" spans="1:5" ht="15" customHeight="1" x14ac:dyDescent="0.15">
      <c r="A8" s="35">
        <v>3</v>
      </c>
      <c r="B8" s="284" t="s">
        <v>116</v>
      </c>
      <c r="C8" s="285"/>
      <c r="D8" s="68">
        <v>1</v>
      </c>
    </row>
    <row r="9" spans="1:5" s="66" customFormat="1" ht="37.5" customHeight="1" x14ac:dyDescent="0.25">
      <c r="A9" s="280" t="s">
        <v>117</v>
      </c>
      <c r="B9" s="281"/>
      <c r="C9" s="281"/>
      <c r="D9" s="281"/>
    </row>
    <row r="10" spans="1:5" ht="26.25" customHeight="1" x14ac:dyDescent="0.15">
      <c r="A10" s="52" t="s">
        <v>4</v>
      </c>
      <c r="B10" s="263" t="s">
        <v>118</v>
      </c>
      <c r="C10" s="264"/>
      <c r="D10" s="19" t="s">
        <v>119</v>
      </c>
    </row>
    <row r="11" spans="1:5" ht="15" customHeight="1" x14ac:dyDescent="0.15">
      <c r="A11" s="23">
        <v>1</v>
      </c>
      <c r="B11" s="282" t="s">
        <v>120</v>
      </c>
      <c r="C11" s="283"/>
      <c r="D11" s="69">
        <v>0</v>
      </c>
    </row>
    <row r="12" spans="1:5" ht="15" customHeight="1" x14ac:dyDescent="0.15">
      <c r="A12" s="23">
        <v>2</v>
      </c>
      <c r="B12" s="282" t="s">
        <v>121</v>
      </c>
      <c r="C12" s="283"/>
      <c r="D12" s="69">
        <v>0</v>
      </c>
    </row>
    <row r="13" spans="1:5" ht="15" customHeight="1" x14ac:dyDescent="0.15">
      <c r="A13" s="23">
        <v>3</v>
      </c>
      <c r="B13" s="282" t="s">
        <v>122</v>
      </c>
      <c r="C13" s="283"/>
      <c r="D13" s="69">
        <v>0</v>
      </c>
    </row>
    <row r="14" spans="1:5" ht="15" customHeight="1" x14ac:dyDescent="0.15">
      <c r="A14" s="23">
        <v>4</v>
      </c>
      <c r="B14" s="282" t="s">
        <v>123</v>
      </c>
      <c r="C14" s="283"/>
      <c r="D14" s="69">
        <v>0</v>
      </c>
    </row>
    <row r="15" spans="1:5" ht="15" customHeight="1" x14ac:dyDescent="0.15">
      <c r="A15" s="23">
        <v>5</v>
      </c>
      <c r="B15" s="282" t="s">
        <v>124</v>
      </c>
      <c r="C15" s="283"/>
      <c r="D15" s="69">
        <v>0</v>
      </c>
    </row>
    <row r="16" spans="1:5" ht="15" customHeight="1" x14ac:dyDescent="0.15">
      <c r="A16" s="23">
        <v>6</v>
      </c>
      <c r="B16" s="282" t="s">
        <v>125</v>
      </c>
      <c r="C16" s="283"/>
      <c r="D16" s="69">
        <v>0</v>
      </c>
    </row>
    <row r="17" spans="1:5" ht="15" customHeight="1" x14ac:dyDescent="0.15">
      <c r="A17" s="23">
        <v>7</v>
      </c>
      <c r="B17" s="282" t="s">
        <v>126</v>
      </c>
      <c r="C17" s="283"/>
      <c r="D17" s="69">
        <v>0</v>
      </c>
    </row>
    <row r="18" spans="1:5" ht="15" customHeight="1" x14ac:dyDescent="0.15">
      <c r="A18" s="23">
        <v>8</v>
      </c>
      <c r="B18" s="282" t="s">
        <v>127</v>
      </c>
      <c r="C18" s="283"/>
      <c r="D18" s="69">
        <v>0</v>
      </c>
    </row>
    <row r="19" spans="1:5" ht="15" customHeight="1" x14ac:dyDescent="0.15">
      <c r="A19" s="23">
        <v>9</v>
      </c>
      <c r="B19" s="282" t="s">
        <v>128</v>
      </c>
      <c r="C19" s="283"/>
      <c r="D19" s="69">
        <v>0</v>
      </c>
    </row>
    <row r="20" spans="1:5" ht="15" customHeight="1" x14ac:dyDescent="0.15">
      <c r="A20" s="35">
        <v>10</v>
      </c>
      <c r="B20" s="284" t="s">
        <v>129</v>
      </c>
      <c r="C20" s="285"/>
      <c r="D20" s="70">
        <v>0</v>
      </c>
    </row>
    <row r="21" spans="1:5" s="66" customFormat="1" ht="37.5" customHeight="1" x14ac:dyDescent="0.25">
      <c r="A21" s="280" t="s">
        <v>130</v>
      </c>
      <c r="B21" s="281"/>
      <c r="C21" s="281"/>
      <c r="D21" s="281"/>
    </row>
    <row r="22" spans="1:5" ht="26.25" customHeight="1" x14ac:dyDescent="0.15">
      <c r="A22" s="52" t="s">
        <v>4</v>
      </c>
      <c r="B22" s="19" t="s">
        <v>131</v>
      </c>
      <c r="C22" s="19" t="s">
        <v>66</v>
      </c>
      <c r="D22" s="19" t="str">
        <f>"Đơn giá "&amp;'Công trình'!AM1</f>
        <v>Đơn giá (đ)</v>
      </c>
    </row>
    <row r="23" spans="1:5" ht="15" customHeight="1" x14ac:dyDescent="0.15">
      <c r="A23" s="23">
        <v>1</v>
      </c>
      <c r="B23" s="71" t="s">
        <v>132</v>
      </c>
      <c r="C23" s="28" t="s">
        <v>133</v>
      </c>
      <c r="D23" s="72">
        <v>28080</v>
      </c>
      <c r="E23" s="279"/>
    </row>
    <row r="24" spans="1:5" ht="15" customHeight="1" x14ac:dyDescent="0.15">
      <c r="A24" s="23">
        <v>2</v>
      </c>
      <c r="B24" s="71" t="s">
        <v>134</v>
      </c>
      <c r="C24" s="28" t="s">
        <v>133</v>
      </c>
      <c r="D24" s="72">
        <v>15781.8</v>
      </c>
      <c r="E24" s="260"/>
    </row>
    <row r="25" spans="1:5" ht="30" customHeight="1" x14ac:dyDescent="0.15">
      <c r="A25" s="23">
        <v>3</v>
      </c>
      <c r="B25" s="71" t="s">
        <v>135</v>
      </c>
      <c r="C25" s="28" t="s">
        <v>136</v>
      </c>
      <c r="D25" s="72">
        <v>2204.0655000000002</v>
      </c>
      <c r="E25" s="46" t="s">
        <v>137</v>
      </c>
    </row>
    <row r="26" spans="1:5" ht="30" customHeight="1" x14ac:dyDescent="0.15">
      <c r="A26" s="35">
        <v>4</v>
      </c>
      <c r="B26" s="73" t="s">
        <v>138</v>
      </c>
      <c r="C26" s="62" t="s">
        <v>133</v>
      </c>
      <c r="D26" s="74">
        <v>21760</v>
      </c>
      <c r="E26" s="46" t="s">
        <v>139</v>
      </c>
    </row>
    <row r="27" spans="1:5" s="66" customFormat="1" ht="37.5" customHeight="1" x14ac:dyDescent="0.25">
      <c r="A27" s="280" t="s">
        <v>140</v>
      </c>
      <c r="B27" s="281"/>
      <c r="C27" s="281"/>
      <c r="D27" s="281"/>
    </row>
    <row r="28" spans="1:5" ht="26.25" customHeight="1" x14ac:dyDescent="0.15">
      <c r="A28" s="52" t="s">
        <v>4</v>
      </c>
      <c r="B28" s="263" t="s">
        <v>141</v>
      </c>
      <c r="C28" s="264"/>
      <c r="D28" s="19" t="s">
        <v>67</v>
      </c>
    </row>
    <row r="29" spans="1:5" ht="15" customHeight="1" x14ac:dyDescent="0.15">
      <c r="A29" s="23">
        <v>1</v>
      </c>
      <c r="B29" s="282" t="s">
        <v>142</v>
      </c>
      <c r="C29" s="283"/>
      <c r="D29" s="75">
        <v>1.03</v>
      </c>
    </row>
    <row r="30" spans="1:5" ht="15" customHeight="1" x14ac:dyDescent="0.15">
      <c r="A30" s="23">
        <v>2</v>
      </c>
      <c r="B30" s="282" t="s">
        <v>143</v>
      </c>
      <c r="C30" s="283"/>
      <c r="D30" s="75">
        <v>1</v>
      </c>
    </row>
    <row r="31" spans="1:5" ht="15" customHeight="1" x14ac:dyDescent="0.15">
      <c r="A31" s="23">
        <v>3</v>
      </c>
      <c r="B31" s="282" t="s">
        <v>144</v>
      </c>
      <c r="C31" s="283"/>
      <c r="D31" s="75">
        <v>1.05</v>
      </c>
    </row>
    <row r="32" spans="1:5" ht="15" customHeight="1" x14ac:dyDescent="0.15">
      <c r="A32" s="35">
        <v>4</v>
      </c>
      <c r="B32" s="284" t="s">
        <v>145</v>
      </c>
      <c r="C32" s="285"/>
      <c r="D32" s="68">
        <v>1.02</v>
      </c>
    </row>
    <row r="33" spans="1:5" s="66" customFormat="1" ht="37.5" customHeight="1" x14ac:dyDescent="0.25">
      <c r="A33" s="280" t="s">
        <v>146</v>
      </c>
      <c r="B33" s="281"/>
      <c r="C33" s="281"/>
      <c r="D33" s="281"/>
    </row>
    <row r="34" spans="1:5" ht="26.25" customHeight="1" x14ac:dyDescent="0.15">
      <c r="A34" s="52" t="s">
        <v>4</v>
      </c>
      <c r="B34" s="263" t="s">
        <v>131</v>
      </c>
      <c r="C34" s="264"/>
      <c r="D34" s="19" t="s">
        <v>112</v>
      </c>
    </row>
    <row r="35" spans="1:5" ht="15" customHeight="1" x14ac:dyDescent="0.15">
      <c r="A35" s="23">
        <v>1</v>
      </c>
      <c r="B35" s="282" t="s">
        <v>147</v>
      </c>
      <c r="C35" s="283"/>
      <c r="D35" s="67">
        <v>30</v>
      </c>
    </row>
    <row r="36" spans="1:5" ht="15" customHeight="1" x14ac:dyDescent="0.15">
      <c r="A36" s="35">
        <v>2</v>
      </c>
      <c r="B36" s="284" t="s">
        <v>148</v>
      </c>
      <c r="C36" s="285"/>
      <c r="D36" s="70">
        <v>0.1</v>
      </c>
    </row>
    <row r="37" spans="1:5" s="66" customFormat="1" ht="37.5" customHeight="1" x14ac:dyDescent="0.25">
      <c r="A37" s="280" t="s">
        <v>149</v>
      </c>
      <c r="B37" s="281"/>
      <c r="C37" s="281"/>
      <c r="D37" s="281"/>
    </row>
    <row r="38" spans="1:5" ht="26.25" customHeight="1" x14ac:dyDescent="0.15">
      <c r="A38" s="52" t="s">
        <v>4</v>
      </c>
      <c r="B38" s="263" t="s">
        <v>150</v>
      </c>
      <c r="C38" s="264"/>
      <c r="D38" s="19" t="s">
        <v>151</v>
      </c>
    </row>
    <row r="39" spans="1:5" ht="15" customHeight="1" x14ac:dyDescent="0.15">
      <c r="A39" s="23">
        <v>1</v>
      </c>
      <c r="B39" s="282" t="s">
        <v>152</v>
      </c>
      <c r="C39" s="283"/>
      <c r="D39" s="67">
        <v>1</v>
      </c>
      <c r="E39" s="76">
        <f>D39</f>
        <v>1</v>
      </c>
    </row>
    <row r="40" spans="1:5" ht="15" customHeight="1" x14ac:dyDescent="0.15">
      <c r="A40" s="23">
        <v>2</v>
      </c>
      <c r="B40" s="282" t="s">
        <v>153</v>
      </c>
      <c r="C40" s="283"/>
      <c r="D40" s="67">
        <v>0</v>
      </c>
      <c r="E40" s="76">
        <f>D40</f>
        <v>0</v>
      </c>
    </row>
    <row r="41" spans="1:5" ht="15" customHeight="1" x14ac:dyDescent="0.15">
      <c r="A41" s="23">
        <v>3</v>
      </c>
      <c r="B41" s="282" t="s">
        <v>154</v>
      </c>
      <c r="C41" s="283"/>
      <c r="D41" s="67">
        <v>0</v>
      </c>
    </row>
    <row r="42" spans="1:5" ht="15" customHeight="1" x14ac:dyDescent="0.15">
      <c r="A42" s="35">
        <v>4</v>
      </c>
      <c r="B42" s="284" t="s">
        <v>155</v>
      </c>
      <c r="C42" s="285"/>
      <c r="D42" s="77">
        <v>3</v>
      </c>
    </row>
    <row r="43" spans="1:5" s="66" customFormat="1" ht="37.5" customHeight="1" x14ac:dyDescent="0.25">
      <c r="A43" s="280" t="s">
        <v>156</v>
      </c>
      <c r="B43" s="281"/>
      <c r="C43" s="281"/>
      <c r="D43" s="281"/>
    </row>
    <row r="44" spans="1:5" ht="26.25" customHeight="1" x14ac:dyDescent="0.15">
      <c r="A44" s="52" t="s">
        <v>4</v>
      </c>
      <c r="B44" s="263" t="s">
        <v>157</v>
      </c>
      <c r="C44" s="264"/>
      <c r="D44" s="19" t="s">
        <v>158</v>
      </c>
    </row>
    <row r="45" spans="1:5" ht="15" customHeight="1" x14ac:dyDescent="0.15">
      <c r="A45" s="23">
        <v>1</v>
      </c>
      <c r="B45" s="282" t="s">
        <v>159</v>
      </c>
      <c r="C45" s="283"/>
      <c r="D45" s="28" t="s">
        <v>160</v>
      </c>
    </row>
    <row r="46" spans="1:5" ht="15" customHeight="1" x14ac:dyDescent="0.15">
      <c r="A46" s="23">
        <v>2</v>
      </c>
      <c r="B46" s="282" t="s">
        <v>161</v>
      </c>
      <c r="C46" s="283"/>
      <c r="D46" s="28" t="s">
        <v>162</v>
      </c>
    </row>
    <row r="47" spans="1:5" ht="15" customHeight="1" x14ac:dyDescent="0.15">
      <c r="A47" s="35">
        <v>3</v>
      </c>
      <c r="B47" s="284" t="s">
        <v>163</v>
      </c>
      <c r="C47" s="285"/>
      <c r="D47" s="62" t="s">
        <v>164</v>
      </c>
    </row>
  </sheetData>
  <mergeCells count="44">
    <mergeCell ref="A1:D1"/>
    <mergeCell ref="A2:D2"/>
    <mergeCell ref="B4:C4"/>
    <mergeCell ref="B5:C5"/>
    <mergeCell ref="B6:C6"/>
    <mergeCell ref="B7:C7"/>
    <mergeCell ref="B8:C8"/>
    <mergeCell ref="A3:D3"/>
    <mergeCell ref="B10:C10"/>
    <mergeCell ref="B11:C11"/>
    <mergeCell ref="B17:C17"/>
    <mergeCell ref="B18:C18"/>
    <mergeCell ref="B19:C19"/>
    <mergeCell ref="B20:C20"/>
    <mergeCell ref="A9:D9"/>
    <mergeCell ref="B12:C12"/>
    <mergeCell ref="B13:C13"/>
    <mergeCell ref="B14:C14"/>
    <mergeCell ref="B15:C15"/>
    <mergeCell ref="B16:C16"/>
    <mergeCell ref="B46:C46"/>
    <mergeCell ref="B47:C47"/>
    <mergeCell ref="A43:D43"/>
    <mergeCell ref="B38:C38"/>
    <mergeCell ref="B39:C39"/>
    <mergeCell ref="B40:C40"/>
    <mergeCell ref="B41:C41"/>
    <mergeCell ref="B42:C42"/>
    <mergeCell ref="E6:E7"/>
    <mergeCell ref="E23:E24"/>
    <mergeCell ref="A37:D37"/>
    <mergeCell ref="B44:C44"/>
    <mergeCell ref="B45:C45"/>
    <mergeCell ref="B32:C32"/>
    <mergeCell ref="A27:D27"/>
    <mergeCell ref="B34:C34"/>
    <mergeCell ref="B35:C35"/>
    <mergeCell ref="B36:C36"/>
    <mergeCell ref="A33:D33"/>
    <mergeCell ref="A21:D21"/>
    <mergeCell ref="B28:C28"/>
    <mergeCell ref="B29:C29"/>
    <mergeCell ref="B30:C30"/>
    <mergeCell ref="B31:C31"/>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
  <sheetViews>
    <sheetView workbookViewId="0">
      <selection activeCell="A8" sqref="A8"/>
    </sheetView>
  </sheetViews>
  <sheetFormatPr defaultColWidth="10" defaultRowHeight="15" customHeight="1" x14ac:dyDescent="0.15"/>
  <cols>
    <col min="1" max="1" width="10" style="46" customWidth="1"/>
    <col min="2" max="2" width="12.5" style="46" customWidth="1"/>
    <col min="3" max="3" width="58.33203125" style="46" customWidth="1"/>
    <col min="4" max="4" width="11.6640625" style="46" customWidth="1"/>
    <col min="5" max="5" width="9.1640625" style="46" hidden="1" customWidth="1"/>
    <col min="6" max="19" width="15" style="46" hidden="1" customWidth="1"/>
    <col min="20" max="20" width="15" style="46" customWidth="1"/>
    <col min="21" max="21" width="16.6640625" style="41" hidden="1" customWidth="1"/>
    <col min="22" max="23" width="10" style="46" customWidth="1"/>
    <col min="24" max="16384" width="10" style="46"/>
  </cols>
  <sheetData>
    <row r="1" spans="1:21" ht="26.25" customHeight="1" x14ac:dyDescent="0.15">
      <c r="A1" s="258" t="s">
        <v>165</v>
      </c>
      <c r="B1" s="260"/>
      <c r="C1" s="260"/>
      <c r="D1" s="260"/>
      <c r="E1" s="260"/>
      <c r="F1" s="260"/>
      <c r="G1" s="260"/>
      <c r="H1" s="260"/>
      <c r="I1" s="260"/>
      <c r="J1" s="260"/>
      <c r="K1" s="260"/>
      <c r="L1" s="260"/>
      <c r="M1" s="260"/>
      <c r="N1" s="260"/>
      <c r="O1" s="260"/>
      <c r="P1" s="260"/>
      <c r="Q1" s="260"/>
      <c r="R1" s="260"/>
      <c r="S1" s="260"/>
      <c r="T1" s="260"/>
    </row>
    <row r="2" spans="1:21" ht="15" customHeight="1" x14ac:dyDescent="0.15">
      <c r="A2" s="286" t="s">
        <v>166</v>
      </c>
      <c r="B2" s="260"/>
      <c r="C2" s="260"/>
      <c r="D2" s="260"/>
      <c r="E2" s="260"/>
      <c r="F2" s="260"/>
      <c r="G2" s="260"/>
      <c r="H2" s="260"/>
      <c r="I2" s="260"/>
      <c r="J2" s="260"/>
      <c r="K2" s="260"/>
      <c r="L2" s="260"/>
      <c r="M2" s="260"/>
      <c r="N2" s="260"/>
      <c r="O2" s="260"/>
      <c r="P2" s="260"/>
      <c r="Q2" s="260"/>
      <c r="R2" s="260"/>
      <c r="S2" s="260"/>
      <c r="T2" s="260"/>
    </row>
    <row r="3" spans="1:21" ht="59.25" customHeight="1" x14ac:dyDescent="0.15">
      <c r="A3"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3" s="260"/>
      <c r="C3" s="260"/>
      <c r="D3" s="260"/>
      <c r="E3" s="260"/>
      <c r="F3" s="260"/>
      <c r="G3" s="260"/>
      <c r="H3" s="260"/>
      <c r="I3" s="260"/>
      <c r="J3" s="260"/>
      <c r="K3" s="260"/>
      <c r="L3" s="260"/>
      <c r="M3" s="260"/>
      <c r="N3" s="260"/>
      <c r="O3" s="260"/>
      <c r="P3" s="260"/>
      <c r="Q3" s="260"/>
      <c r="R3" s="260"/>
      <c r="S3" s="260"/>
      <c r="T3" s="260"/>
    </row>
    <row r="4" spans="1:21" ht="22.5" customHeight="1" x14ac:dyDescent="0.25">
      <c r="A4" s="287" t="str">
        <f>"Đơn vị tính: "&amp;'Công trình'!AM1</f>
        <v>Đơn vị tính: (đ)</v>
      </c>
      <c r="B4" s="260"/>
      <c r="C4" s="260"/>
      <c r="D4" s="260"/>
      <c r="E4" s="260"/>
      <c r="F4" s="260"/>
      <c r="G4" s="260"/>
      <c r="H4" s="260"/>
      <c r="I4" s="260"/>
      <c r="J4" s="260"/>
      <c r="K4" s="260"/>
      <c r="L4" s="260"/>
      <c r="M4" s="260"/>
      <c r="N4" s="260"/>
      <c r="O4" s="260"/>
      <c r="P4" s="260"/>
      <c r="Q4" s="260"/>
      <c r="R4" s="260"/>
      <c r="S4" s="260"/>
      <c r="T4" s="260"/>
    </row>
    <row r="5" spans="1:21" ht="27.75" customHeight="1" x14ac:dyDescent="0.15">
      <c r="A5" s="265" t="s">
        <v>4</v>
      </c>
      <c r="B5" s="267" t="s">
        <v>64</v>
      </c>
      <c r="C5" s="267" t="s">
        <v>167</v>
      </c>
      <c r="D5" s="267" t="s">
        <v>66</v>
      </c>
      <c r="E5" s="267" t="s">
        <v>168</v>
      </c>
      <c r="F5" s="267" t="s">
        <v>169</v>
      </c>
      <c r="G5" s="267" t="s">
        <v>170</v>
      </c>
      <c r="H5" s="267" t="s">
        <v>171</v>
      </c>
      <c r="I5" s="263" t="str">
        <f>"Phụ cấp "&amp;'Công trình'!AM1</f>
        <v>Phụ cấp (đ)</v>
      </c>
      <c r="J5" s="263"/>
      <c r="K5" s="263"/>
      <c r="L5" s="263"/>
      <c r="M5" s="263"/>
      <c r="N5" s="263"/>
      <c r="O5" s="263"/>
      <c r="P5" s="263"/>
      <c r="Q5" s="263"/>
      <c r="R5" s="264"/>
      <c r="S5" s="267" t="s">
        <v>172</v>
      </c>
      <c r="T5" s="267" t="s">
        <v>173</v>
      </c>
      <c r="U5" s="259" t="s">
        <v>174</v>
      </c>
    </row>
    <row r="6" spans="1:21" ht="45" customHeight="1" x14ac:dyDescent="0.15">
      <c r="A6" s="288"/>
      <c r="B6" s="289"/>
      <c r="C6" s="289"/>
      <c r="D6" s="289"/>
      <c r="E6" s="289"/>
      <c r="F6" s="289"/>
      <c r="G6" s="289"/>
      <c r="H6" s="289"/>
      <c r="I6" s="19" t="str">
        <f>"Lưu động 
("&amp;'Đầu vào'!D11*100&amp;"% LTC)"</f>
        <v>Lưu động 
(0% LTC)</v>
      </c>
      <c r="J6" s="19" t="str">
        <f>"Không ổn định S.X 
("&amp;'Đầu vào'!D12*100&amp;"% LCB)"</f>
        <v>Không ổn định S.X 
(0% LCB)</v>
      </c>
      <c r="K6" s="19" t="str">
        <f>"Lương phụ nghỉ lễ, tết 
("&amp;'Đầu vào'!D13*100&amp;"% LCB)"</f>
        <v>Lương phụ nghỉ lễ, tết 
(0% LCB)</v>
      </c>
      <c r="L6" s="19" t="str">
        <f>"Khoán trực tiếp 
("&amp;'Đầu vào'!D14*100&amp;"% LCB)"</f>
        <v>Khoán trực tiếp 
(0% LCB)</v>
      </c>
      <c r="M6" s="19" t="str">
        <f>"Khu vực 
("&amp;'Đầu vào'!D15*100&amp;"% LTC)"</f>
        <v>Khu vực 
(0% LTC)</v>
      </c>
      <c r="N6" s="19" t="str">
        <f>"Độc hại 
("&amp;'Đầu vào'!D16*100&amp;"% LTC)"</f>
        <v>Độc hại 
(0% LTC)</v>
      </c>
      <c r="O6" s="19" t="str">
        <f>"Thu hút 
("&amp;'Đầu vào'!D17*100&amp;"% LCB)"</f>
        <v>Thu hút 
(0% LCB)</v>
      </c>
      <c r="P6" s="19" t="str">
        <f>"Trách nhiệm 
("&amp;'Đầu vào'!D18*100&amp;"% LTC)"</f>
        <v>Trách nhiệm 
(0% LTC)</v>
      </c>
      <c r="Q6" s="19" t="str">
        <f>"Bảo hiểm 
("&amp;'Đầu vào'!D19*100&amp;"% LCB)"</f>
        <v>Bảo hiểm 
(0% LCB)</v>
      </c>
      <c r="R6" s="19" t="str">
        <f>"Vùng sâu, vùng xa 
("&amp;'Đầu vào'!D20*100&amp;"% LCB)"</f>
        <v>Vùng sâu, vùng xa 
(0% LCB)</v>
      </c>
      <c r="S6" s="289"/>
      <c r="T6" s="289"/>
      <c r="U6" s="259"/>
    </row>
    <row r="7" spans="1:21" ht="27.75" customHeight="1" x14ac:dyDescent="0.15">
      <c r="A7" s="266"/>
      <c r="B7" s="268"/>
      <c r="C7" s="268"/>
      <c r="D7" s="268"/>
      <c r="E7" s="268"/>
      <c r="F7" s="268"/>
      <c r="G7" s="268"/>
      <c r="H7" s="268"/>
      <c r="I7" s="78">
        <f>'Đầu vào'!D11</f>
        <v>0</v>
      </c>
      <c r="J7" s="78">
        <f>'Đầu vào'!D12</f>
        <v>0</v>
      </c>
      <c r="K7" s="78">
        <f>'Đầu vào'!D13</f>
        <v>0</v>
      </c>
      <c r="L7" s="78">
        <f>'Đầu vào'!D14</f>
        <v>0</v>
      </c>
      <c r="M7" s="78">
        <f>'Đầu vào'!D15</f>
        <v>0</v>
      </c>
      <c r="N7" s="78">
        <f>'Đầu vào'!D16</f>
        <v>0</v>
      </c>
      <c r="O7" s="78">
        <f>'Đầu vào'!D17</f>
        <v>0</v>
      </c>
      <c r="P7" s="78">
        <f>'Đầu vào'!D18</f>
        <v>0</v>
      </c>
      <c r="Q7" s="78">
        <f>'Đầu vào'!D19</f>
        <v>0</v>
      </c>
      <c r="R7" s="78">
        <f>'Đầu vào'!D20</f>
        <v>0</v>
      </c>
      <c r="S7" s="268"/>
      <c r="T7" s="268"/>
      <c r="U7" s="259"/>
    </row>
    <row r="8" spans="1:21" ht="15.75" customHeight="1" x14ac:dyDescent="0.15">
      <c r="A8" s="23">
        <v>1</v>
      </c>
      <c r="B8" s="28" t="str">
        <f>'Giá tháng'!B11</f>
        <v>NKS</v>
      </c>
      <c r="C8" s="25" t="str">
        <f>'Giá tháng'!C11</f>
        <v>Kỹ sư</v>
      </c>
      <c r="D8" s="28" t="str">
        <f>'Giá tháng'!D11</f>
        <v>công</v>
      </c>
      <c r="E8" s="79"/>
      <c r="F8" s="80"/>
      <c r="G8" s="81"/>
      <c r="H8" s="80">
        <v>435000</v>
      </c>
      <c r="I8" s="80"/>
      <c r="J8" s="80">
        <f>J7*H8</f>
        <v>0</v>
      </c>
      <c r="K8" s="80">
        <f>K7*H8</f>
        <v>0</v>
      </c>
      <c r="L8" s="80">
        <f>L7*H8</f>
        <v>0</v>
      </c>
      <c r="M8" s="80"/>
      <c r="N8" s="80"/>
      <c r="O8" s="80">
        <f>O7*H8</f>
        <v>0</v>
      </c>
      <c r="P8" s="80"/>
      <c r="Q8" s="80">
        <f>Q7*H8</f>
        <v>0</v>
      </c>
      <c r="R8" s="80">
        <f>R7*H8</f>
        <v>0</v>
      </c>
      <c r="S8" s="25"/>
      <c r="T8" s="82">
        <f>ROUND(SUM(H8:R8),'Đầu vào'!D40)</f>
        <v>435000</v>
      </c>
    </row>
    <row r="9" spans="1:21" ht="15.75" customHeight="1" x14ac:dyDescent="0.15">
      <c r="A9" s="23">
        <v>2</v>
      </c>
      <c r="B9" s="28" t="str">
        <f>'Giá tháng'!B12</f>
        <v>N2</v>
      </c>
      <c r="C9" s="25" t="str">
        <f>'Giá tháng'!C12</f>
        <v>Nhân công nhóm 2</v>
      </c>
      <c r="D9" s="28" t="str">
        <f>'Giá tháng'!D12</f>
        <v>công</v>
      </c>
      <c r="E9" s="79"/>
      <c r="F9" s="80"/>
      <c r="G9" s="81"/>
      <c r="H9" s="80">
        <v>413000</v>
      </c>
      <c r="I9" s="80"/>
      <c r="J9" s="80">
        <f>J7*H9</f>
        <v>0</v>
      </c>
      <c r="K9" s="80">
        <f>K7*H9</f>
        <v>0</v>
      </c>
      <c r="L9" s="80">
        <f>L7*H9</f>
        <v>0</v>
      </c>
      <c r="M9" s="80"/>
      <c r="N9" s="80"/>
      <c r="O9" s="80">
        <f>O7*H9</f>
        <v>0</v>
      </c>
      <c r="P9" s="80"/>
      <c r="Q9" s="80">
        <f>Q7*H9</f>
        <v>0</v>
      </c>
      <c r="R9" s="80">
        <f>R7*H9</f>
        <v>0</v>
      </c>
      <c r="S9" s="25"/>
      <c r="T9" s="82">
        <f>ROUND(SUM(H9:R9),'Đầu vào'!D40)</f>
        <v>413000</v>
      </c>
    </row>
    <row r="10" spans="1:21" ht="15.75" customHeight="1" x14ac:dyDescent="0.15">
      <c r="A10" s="35">
        <v>3</v>
      </c>
      <c r="B10" s="62" t="str">
        <f>'Giá tháng'!B13</f>
        <v>N3</v>
      </c>
      <c r="C10" s="37" t="str">
        <f>'Giá tháng'!C13</f>
        <v>Nhân công nhóm 3</v>
      </c>
      <c r="D10" s="62" t="str">
        <f>'Giá tháng'!D13</f>
        <v>công</v>
      </c>
      <c r="E10" s="83"/>
      <c r="F10" s="84"/>
      <c r="G10" s="85"/>
      <c r="H10" s="84">
        <v>427000</v>
      </c>
      <c r="I10" s="84"/>
      <c r="J10" s="84">
        <f>J7*H10</f>
        <v>0</v>
      </c>
      <c r="K10" s="84">
        <f>K7*H10</f>
        <v>0</v>
      </c>
      <c r="L10" s="84">
        <f>L7*H10</f>
        <v>0</v>
      </c>
      <c r="M10" s="84"/>
      <c r="N10" s="84"/>
      <c r="O10" s="84">
        <f>O7*H10</f>
        <v>0</v>
      </c>
      <c r="P10" s="84"/>
      <c r="Q10" s="84">
        <f>Q7*H10</f>
        <v>0</v>
      </c>
      <c r="R10" s="84">
        <f>R7*H10</f>
        <v>0</v>
      </c>
      <c r="S10" s="37"/>
      <c r="T10" s="86">
        <f>ROUND(SUM(H10:R10),'Đầu vào'!D40)</f>
        <v>427000</v>
      </c>
    </row>
  </sheetData>
  <mergeCells count="16">
    <mergeCell ref="U5:U7"/>
    <mergeCell ref="A1:T1"/>
    <mergeCell ref="A2:T2"/>
    <mergeCell ref="A3:T3"/>
    <mergeCell ref="A4:T4"/>
    <mergeCell ref="A5:A7"/>
    <mergeCell ref="B5:B7"/>
    <mergeCell ref="C5:C7"/>
    <mergeCell ref="D5:D7"/>
    <mergeCell ref="E5:E7"/>
    <mergeCell ref="F5:F7"/>
    <mergeCell ref="G5:G7"/>
    <mergeCell ref="H5:H7"/>
    <mergeCell ref="I5:R5"/>
    <mergeCell ref="S5:S7"/>
    <mergeCell ref="T5:T7"/>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8"/>
  <sheetViews>
    <sheetView workbookViewId="0">
      <selection activeCell="A6" sqref="A6"/>
    </sheetView>
  </sheetViews>
  <sheetFormatPr defaultColWidth="10" defaultRowHeight="15" customHeight="1" x14ac:dyDescent="0.15"/>
  <cols>
    <col min="1" max="1" width="10" style="46" customWidth="1"/>
    <col min="2" max="2" width="14.1640625" style="46" customWidth="1"/>
    <col min="3" max="3" width="50" style="46" customWidth="1"/>
    <col min="4" max="4" width="11.6640625" style="46" customWidth="1"/>
    <col min="5" max="5" width="16.6640625" style="46" customWidth="1"/>
    <col min="6" max="7" width="8.33203125" style="46" customWidth="1"/>
    <col min="8" max="8" width="16.6640625" style="46" customWidth="1"/>
    <col min="9" max="9" width="8.33203125" style="46" customWidth="1"/>
    <col min="10" max="10" width="8.33203125" style="46" hidden="1" customWidth="1"/>
    <col min="11" max="11" width="15" style="46" customWidth="1"/>
    <col min="12" max="13" width="10" style="46" customWidth="1"/>
    <col min="14" max="16384" width="10" style="46"/>
  </cols>
  <sheetData>
    <row r="1" spans="1:11" ht="26.25" customHeight="1" x14ac:dyDescent="0.15">
      <c r="A1" s="258" t="s">
        <v>175</v>
      </c>
      <c r="B1" s="260"/>
      <c r="C1" s="260"/>
      <c r="D1" s="260"/>
      <c r="E1" s="260"/>
      <c r="F1" s="260"/>
      <c r="G1" s="260"/>
      <c r="H1" s="260"/>
      <c r="I1" s="260"/>
      <c r="J1" s="260"/>
      <c r="K1" s="260"/>
    </row>
    <row r="2" spans="1:11" ht="15" customHeight="1" x14ac:dyDescent="0.15">
      <c r="A2" s="286" t="s">
        <v>176</v>
      </c>
      <c r="B2" s="260"/>
      <c r="C2" s="260"/>
      <c r="D2" s="260"/>
      <c r="E2" s="260"/>
      <c r="F2" s="260"/>
      <c r="G2" s="260"/>
      <c r="H2" s="260"/>
      <c r="I2" s="260"/>
      <c r="J2" s="260"/>
      <c r="K2" s="260"/>
    </row>
    <row r="3" spans="1:11" ht="45.75" customHeight="1" x14ac:dyDescent="0.15">
      <c r="A3"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3" s="260"/>
      <c r="C3" s="260"/>
      <c r="D3" s="260"/>
      <c r="E3" s="260"/>
      <c r="F3" s="260"/>
      <c r="G3" s="260"/>
      <c r="H3" s="260"/>
      <c r="I3" s="260"/>
      <c r="J3" s="260"/>
      <c r="K3" s="260"/>
    </row>
    <row r="4" spans="1:11" ht="22.5" customHeight="1" x14ac:dyDescent="0.25">
      <c r="A4" s="287" t="str">
        <f>"Đơn vị tính: "&amp;'Công trình'!AM1</f>
        <v>Đơn vị tính: (đ)</v>
      </c>
      <c r="B4" s="260"/>
      <c r="C4" s="260"/>
      <c r="D4" s="260"/>
      <c r="E4" s="260"/>
      <c r="F4" s="260"/>
      <c r="G4" s="260"/>
      <c r="H4" s="260"/>
      <c r="I4" s="260"/>
      <c r="J4" s="260"/>
      <c r="K4" s="260"/>
    </row>
    <row r="5" spans="1:11" ht="48.75" customHeight="1" x14ac:dyDescent="0.15">
      <c r="A5" s="52" t="s">
        <v>4</v>
      </c>
      <c r="B5" s="19" t="s">
        <v>64</v>
      </c>
      <c r="C5" s="19" t="s">
        <v>177</v>
      </c>
      <c r="D5" s="19" t="s">
        <v>66</v>
      </c>
      <c r="E5" s="19" t="str">
        <f>"Nguyên giá
"&amp;'Công trình'!AM1</f>
        <v>Nguyên giá
(đ)</v>
      </c>
      <c r="F5" s="19" t="s">
        <v>178</v>
      </c>
      <c r="G5" s="19" t="s">
        <v>179</v>
      </c>
      <c r="H5" s="19" t="str">
        <f>"Đơn giá
"&amp;'Công trình'!AM1</f>
        <v>Đơn giá
(đ)</v>
      </c>
      <c r="I5" s="19" t="s">
        <v>67</v>
      </c>
      <c r="J5" s="19" t="s">
        <v>180</v>
      </c>
      <c r="K5" s="19" t="str">
        <f>"Chi phí
"&amp;'Công trình'!AM1</f>
        <v>Chi phí
(đ)</v>
      </c>
    </row>
    <row r="6" spans="1:11" ht="15.75" customHeight="1" x14ac:dyDescent="0.15">
      <c r="A6" s="87">
        <v>1</v>
      </c>
      <c r="B6" s="88" t="str">
        <f>'Giá tháng'!B15</f>
        <v>M202.0008</v>
      </c>
      <c r="C6" s="89" t="str">
        <f>'Giá tháng'!C15</f>
        <v>Bộ thiết bị siêu âm</v>
      </c>
      <c r="D6" s="88" t="str">
        <f>'Giá tháng'!D15</f>
        <v>ca</v>
      </c>
      <c r="E6" s="90">
        <v>573827000</v>
      </c>
      <c r="F6" s="91">
        <v>180</v>
      </c>
      <c r="G6" s="89"/>
      <c r="H6" s="92"/>
      <c r="I6" s="88"/>
      <c r="J6" s="88"/>
      <c r="K6" s="93">
        <f>ROUND(K7,'Đầu vào'!D41)</f>
        <v>478189</v>
      </c>
    </row>
    <row r="7" spans="1:11" ht="15.75" customHeight="1" x14ac:dyDescent="0.15">
      <c r="A7" s="94"/>
      <c r="B7" s="95"/>
      <c r="C7" s="96" t="s">
        <v>181</v>
      </c>
      <c r="D7" s="95"/>
      <c r="E7" s="97"/>
      <c r="F7" s="98"/>
      <c r="G7" s="96"/>
      <c r="H7" s="99"/>
      <c r="I7" s="95"/>
      <c r="J7" s="95"/>
      <c r="K7" s="99">
        <f>SUM(K8:K10)</f>
        <v>478189.16666666669</v>
      </c>
    </row>
    <row r="8" spans="1:11" ht="15.75" customHeight="1" x14ac:dyDescent="0.15">
      <c r="A8" s="23"/>
      <c r="B8" s="28"/>
      <c r="C8" s="25" t="s">
        <v>182</v>
      </c>
      <c r="D8" s="28"/>
      <c r="E8" s="82"/>
      <c r="F8" s="100"/>
      <c r="G8" s="101">
        <v>0.1</v>
      </c>
      <c r="H8" s="80">
        <f>E6</f>
        <v>573827000</v>
      </c>
      <c r="I8" s="102">
        <f>IF(E6&gt;='Đầu vào'!D35*10^6,1-'Đầu vào'!D36,1)</f>
        <v>0.9</v>
      </c>
      <c r="J8" s="28"/>
      <c r="K8" s="80">
        <f>G8*H8*I8/F6</f>
        <v>286913.5</v>
      </c>
    </row>
    <row r="9" spans="1:11" ht="15.75" customHeight="1" x14ac:dyDescent="0.15">
      <c r="A9" s="23"/>
      <c r="B9" s="28"/>
      <c r="C9" s="25" t="s">
        <v>183</v>
      </c>
      <c r="D9" s="28"/>
      <c r="E9" s="82"/>
      <c r="F9" s="100"/>
      <c r="G9" s="101">
        <v>0.02</v>
      </c>
      <c r="H9" s="80">
        <f>E6</f>
        <v>573827000</v>
      </c>
      <c r="I9" s="28"/>
      <c r="J9" s="28"/>
      <c r="K9" s="80">
        <f>G9*H9/F6</f>
        <v>63758.555555555555</v>
      </c>
    </row>
    <row r="10" spans="1:11" ht="15.75" customHeight="1" x14ac:dyDescent="0.15">
      <c r="A10" s="23"/>
      <c r="B10" s="28"/>
      <c r="C10" s="25" t="s">
        <v>184</v>
      </c>
      <c r="D10" s="28"/>
      <c r="E10" s="82"/>
      <c r="F10" s="100"/>
      <c r="G10" s="101">
        <v>0.04</v>
      </c>
      <c r="H10" s="80">
        <f>E6</f>
        <v>573827000</v>
      </c>
      <c r="I10" s="28"/>
      <c r="J10" s="28"/>
      <c r="K10" s="80">
        <f>G10*H10/F6</f>
        <v>127517.11111111111</v>
      </c>
    </row>
    <row r="11" spans="1:11" ht="15.75" customHeight="1" x14ac:dyDescent="0.15">
      <c r="A11" s="87">
        <v>2</v>
      </c>
      <c r="B11" s="88" t="str">
        <f>'Giá tháng'!B16</f>
        <v>M107.0202</v>
      </c>
      <c r="C11" s="89" t="str">
        <f>'Giá tháng'!C16</f>
        <v>Máy khoan xoay đập tự hành F105mm</v>
      </c>
      <c r="D11" s="88" t="str">
        <f>'Giá tháng'!D16</f>
        <v>ca</v>
      </c>
      <c r="E11" s="90">
        <v>1376725000</v>
      </c>
      <c r="F11" s="91">
        <v>270</v>
      </c>
      <c r="G11" s="89"/>
      <c r="H11" s="92"/>
      <c r="I11" s="88"/>
      <c r="J11" s="88"/>
      <c r="K11" s="93">
        <f>ROUND(K12+K15,'Đầu vào'!D41)</f>
        <v>2219339</v>
      </c>
    </row>
    <row r="12" spans="1:11" ht="15.75" customHeight="1" x14ac:dyDescent="0.15">
      <c r="A12" s="94"/>
      <c r="B12" s="95"/>
      <c r="C12" s="96" t="s">
        <v>185</v>
      </c>
      <c r="D12" s="95"/>
      <c r="E12" s="97"/>
      <c r="F12" s="98"/>
      <c r="G12" s="96"/>
      <c r="H12" s="99"/>
      <c r="I12" s="95"/>
      <c r="J12" s="95"/>
      <c r="K12" s="99">
        <f>G13*K13</f>
        <v>914000</v>
      </c>
    </row>
    <row r="13" spans="1:11" ht="15.75" customHeight="1" x14ac:dyDescent="0.15">
      <c r="A13" s="23"/>
      <c r="B13" s="28"/>
      <c r="C13" s="25" t="s">
        <v>186</v>
      </c>
      <c r="D13" s="28"/>
      <c r="E13" s="82"/>
      <c r="F13" s="100"/>
      <c r="G13" s="103">
        <v>2</v>
      </c>
      <c r="H13" s="80"/>
      <c r="I13" s="28"/>
      <c r="J13" s="28"/>
      <c r="K13" s="80">
        <f>ROUND(SUM(K14:K14),'Đầu vào'!E40)</f>
        <v>457000</v>
      </c>
    </row>
    <row r="14" spans="1:11" ht="15.75" customHeight="1" x14ac:dyDescent="0.15">
      <c r="A14" s="23"/>
      <c r="B14" s="28"/>
      <c r="C14" s="25" t="s">
        <v>187</v>
      </c>
      <c r="D14" s="28"/>
      <c r="E14" s="82"/>
      <c r="F14" s="100"/>
      <c r="G14" s="25"/>
      <c r="H14" s="80">
        <v>457000</v>
      </c>
      <c r="I14" s="28"/>
      <c r="J14" s="28"/>
      <c r="K14" s="80">
        <f>H14</f>
        <v>457000</v>
      </c>
    </row>
    <row r="15" spans="1:11" ht="15.75" customHeight="1" x14ac:dyDescent="0.15">
      <c r="A15" s="94"/>
      <c r="B15" s="95"/>
      <c r="C15" s="96" t="s">
        <v>181</v>
      </c>
      <c r="D15" s="95"/>
      <c r="E15" s="97"/>
      <c r="F15" s="98"/>
      <c r="G15" s="96"/>
      <c r="H15" s="99"/>
      <c r="I15" s="95"/>
      <c r="J15" s="95"/>
      <c r="K15" s="99">
        <f>SUM(K16:K18)</f>
        <v>1305339.2592592593</v>
      </c>
    </row>
    <row r="16" spans="1:11" ht="15.75" customHeight="1" x14ac:dyDescent="0.15">
      <c r="A16" s="23"/>
      <c r="B16" s="28"/>
      <c r="C16" s="25" t="s">
        <v>182</v>
      </c>
      <c r="D16" s="28"/>
      <c r="E16" s="82"/>
      <c r="F16" s="100"/>
      <c r="G16" s="101">
        <v>0.17</v>
      </c>
      <c r="H16" s="80">
        <f>E11</f>
        <v>1376725000</v>
      </c>
      <c r="I16" s="102">
        <f>IF(E11&gt;='Đầu vào'!D35*10^6,1-'Đầu vào'!D36,1)</f>
        <v>0.9</v>
      </c>
      <c r="J16" s="28"/>
      <c r="K16" s="80">
        <f>G16*H16*I16/F11</f>
        <v>780144.16666666674</v>
      </c>
    </row>
    <row r="17" spans="1:11" ht="15.75" customHeight="1" x14ac:dyDescent="0.15">
      <c r="A17" s="23"/>
      <c r="B17" s="28"/>
      <c r="C17" s="25" t="s">
        <v>183</v>
      </c>
      <c r="D17" s="28"/>
      <c r="E17" s="82"/>
      <c r="F17" s="100"/>
      <c r="G17" s="101">
        <v>5.2999999999999999E-2</v>
      </c>
      <c r="H17" s="80">
        <f>E11</f>
        <v>1376725000</v>
      </c>
      <c r="I17" s="28"/>
      <c r="J17" s="28"/>
      <c r="K17" s="80">
        <f>G17*H17/F11</f>
        <v>270246.01851851854</v>
      </c>
    </row>
    <row r="18" spans="1:11" ht="15.75" customHeight="1" x14ac:dyDescent="0.15">
      <c r="A18" s="23"/>
      <c r="B18" s="28"/>
      <c r="C18" s="25" t="s">
        <v>184</v>
      </c>
      <c r="D18" s="28"/>
      <c r="E18" s="82"/>
      <c r="F18" s="100"/>
      <c r="G18" s="101">
        <v>0.05</v>
      </c>
      <c r="H18" s="80">
        <f>E11</f>
        <v>1376725000</v>
      </c>
      <c r="I18" s="28"/>
      <c r="J18" s="28"/>
      <c r="K18" s="80">
        <f>G18*H18/F11</f>
        <v>254949.07407407407</v>
      </c>
    </row>
    <row r="19" spans="1:11" ht="15.75" customHeight="1" x14ac:dyDescent="0.15">
      <c r="A19" s="87">
        <v>3</v>
      </c>
      <c r="B19" s="88" t="str">
        <f>'Giá tháng'!B17</f>
        <v>M108.0307</v>
      </c>
      <c r="C19" s="89" t="str">
        <f>'Giá tháng'!C17</f>
        <v>Máy nén khí diezel 660 m3/h</v>
      </c>
      <c r="D19" s="88" t="str">
        <f>'Giá tháng'!D17</f>
        <v>ca</v>
      </c>
      <c r="E19" s="90">
        <v>478552000</v>
      </c>
      <c r="F19" s="91">
        <v>180</v>
      </c>
      <c r="G19" s="89"/>
      <c r="H19" s="92"/>
      <c r="I19" s="88"/>
      <c r="J19" s="88"/>
      <c r="K19" s="93">
        <f>ROUND(K20+K22+K25,'Đầu vào'!D41)</f>
        <v>2408258</v>
      </c>
    </row>
    <row r="20" spans="1:11" ht="15.75" customHeight="1" x14ac:dyDescent="0.15">
      <c r="A20" s="94"/>
      <c r="B20" s="95"/>
      <c r="C20" s="96" t="s">
        <v>188</v>
      </c>
      <c r="D20" s="95"/>
      <c r="E20" s="97"/>
      <c r="F20" s="98"/>
      <c r="G20" s="96"/>
      <c r="H20" s="99"/>
      <c r="I20" s="95"/>
      <c r="J20" s="95"/>
      <c r="K20" s="99">
        <f>SUM(K21:K21)</f>
        <v>1446120</v>
      </c>
    </row>
    <row r="21" spans="1:11" ht="15.75" customHeight="1" x14ac:dyDescent="0.15">
      <c r="A21" s="23"/>
      <c r="B21" s="28"/>
      <c r="C21" s="25" t="str">
        <f>" - "&amp;'Đầu vào'!B23</f>
        <v xml:space="preserve"> - Diezel</v>
      </c>
      <c r="D21" s="28" t="str">
        <f>'Đầu vào'!C23</f>
        <v>Lít</v>
      </c>
      <c r="E21" s="82"/>
      <c r="F21" s="100"/>
      <c r="G21" s="103">
        <v>50</v>
      </c>
      <c r="H21" s="80">
        <f>'Đầu vào'!D23</f>
        <v>28080</v>
      </c>
      <c r="I21" s="104">
        <f>'Đầu vào'!D29</f>
        <v>1.03</v>
      </c>
      <c r="J21" s="28"/>
      <c r="K21" s="80">
        <f>G21*H21*I21</f>
        <v>1446120</v>
      </c>
    </row>
    <row r="22" spans="1:11" ht="15.75" customHeight="1" x14ac:dyDescent="0.15">
      <c r="A22" s="94"/>
      <c r="B22" s="95"/>
      <c r="C22" s="96" t="s">
        <v>185</v>
      </c>
      <c r="D22" s="95"/>
      <c r="E22" s="97"/>
      <c r="F22" s="98"/>
      <c r="G22" s="96"/>
      <c r="H22" s="99"/>
      <c r="I22" s="95"/>
      <c r="J22" s="95"/>
      <c r="K22" s="99">
        <f>G23*K23</f>
        <v>457000</v>
      </c>
    </row>
    <row r="23" spans="1:11" ht="15.75" customHeight="1" x14ac:dyDescent="0.15">
      <c r="A23" s="23"/>
      <c r="B23" s="28"/>
      <c r="C23" s="25" t="s">
        <v>186</v>
      </c>
      <c r="D23" s="28"/>
      <c r="E23" s="82"/>
      <c r="F23" s="100"/>
      <c r="G23" s="103">
        <v>1</v>
      </c>
      <c r="H23" s="80"/>
      <c r="I23" s="28"/>
      <c r="J23" s="28"/>
      <c r="K23" s="80">
        <f>ROUND(SUM(K24:K24),'Đầu vào'!E40)</f>
        <v>457000</v>
      </c>
    </row>
    <row r="24" spans="1:11" ht="15.75" customHeight="1" x14ac:dyDescent="0.15">
      <c r="A24" s="23"/>
      <c r="B24" s="28"/>
      <c r="C24" s="25" t="s">
        <v>187</v>
      </c>
      <c r="D24" s="28"/>
      <c r="E24" s="82"/>
      <c r="F24" s="100"/>
      <c r="G24" s="25"/>
      <c r="H24" s="80">
        <v>457000</v>
      </c>
      <c r="I24" s="28"/>
      <c r="J24" s="28"/>
      <c r="K24" s="80">
        <f>H24</f>
        <v>457000</v>
      </c>
    </row>
    <row r="25" spans="1:11" ht="15.75" customHeight="1" x14ac:dyDescent="0.15">
      <c r="A25" s="94"/>
      <c r="B25" s="95"/>
      <c r="C25" s="96" t="s">
        <v>181</v>
      </c>
      <c r="D25" s="95"/>
      <c r="E25" s="97"/>
      <c r="F25" s="98"/>
      <c r="G25" s="96"/>
      <c r="H25" s="99"/>
      <c r="I25" s="95"/>
      <c r="J25" s="95"/>
      <c r="K25" s="99">
        <f>SUM(K26:K28)</f>
        <v>505138.22222222225</v>
      </c>
    </row>
    <row r="26" spans="1:11" ht="15.75" customHeight="1" x14ac:dyDescent="0.15">
      <c r="A26" s="23"/>
      <c r="B26" s="28"/>
      <c r="C26" s="25" t="s">
        <v>182</v>
      </c>
      <c r="D26" s="28"/>
      <c r="E26" s="82"/>
      <c r="F26" s="100"/>
      <c r="G26" s="101">
        <v>0.1</v>
      </c>
      <c r="H26" s="80">
        <f>E19</f>
        <v>478552000</v>
      </c>
      <c r="I26" s="102">
        <f>IF(E19&gt;='Đầu vào'!D35*10^6,1-'Đầu vào'!D36,1)</f>
        <v>0.9</v>
      </c>
      <c r="J26" s="28"/>
      <c r="K26" s="80">
        <f>G26*H26*I26/F19</f>
        <v>239276</v>
      </c>
    </row>
    <row r="27" spans="1:11" ht="15.75" customHeight="1" x14ac:dyDescent="0.15">
      <c r="A27" s="23"/>
      <c r="B27" s="28"/>
      <c r="C27" s="25" t="s">
        <v>183</v>
      </c>
      <c r="D27" s="28"/>
      <c r="E27" s="82"/>
      <c r="F27" s="100"/>
      <c r="G27" s="101">
        <v>0.05</v>
      </c>
      <c r="H27" s="80">
        <f>E19</f>
        <v>478552000</v>
      </c>
      <c r="I27" s="28"/>
      <c r="J27" s="28"/>
      <c r="K27" s="80">
        <f>G27*H27/F19</f>
        <v>132931.11111111112</v>
      </c>
    </row>
    <row r="28" spans="1:11" ht="15.75" customHeight="1" x14ac:dyDescent="0.15">
      <c r="A28" s="35"/>
      <c r="B28" s="62"/>
      <c r="C28" s="37" t="s">
        <v>184</v>
      </c>
      <c r="D28" s="62"/>
      <c r="E28" s="86"/>
      <c r="F28" s="105"/>
      <c r="G28" s="106">
        <v>0.05</v>
      </c>
      <c r="H28" s="84">
        <f>E19</f>
        <v>478552000</v>
      </c>
      <c r="I28" s="62"/>
      <c r="J28" s="62"/>
      <c r="K28" s="84">
        <f>G28*H28/F19</f>
        <v>132931.11111111112</v>
      </c>
    </row>
  </sheetData>
  <mergeCells count="4">
    <mergeCell ref="A1:K1"/>
    <mergeCell ref="A2:K2"/>
    <mergeCell ref="A3:K3"/>
    <mergeCell ref="A4:K4"/>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1"/>
  <sheetViews>
    <sheetView workbookViewId="0"/>
  </sheetViews>
  <sheetFormatPr defaultColWidth="10" defaultRowHeight="15" customHeight="1" x14ac:dyDescent="0.15"/>
  <cols>
    <col min="1" max="1" width="6.5" style="46" customWidth="1"/>
    <col min="2" max="2" width="14.1640625" style="46" customWidth="1"/>
    <col min="3" max="3" width="34.1640625" style="46" customWidth="1"/>
    <col min="4" max="4" width="11.6640625" style="46" customWidth="1"/>
    <col min="5" max="5" width="15" style="46" customWidth="1"/>
    <col min="6" max="7" width="10.83203125" style="46" customWidth="1"/>
    <col min="8" max="8" width="15" style="46" customWidth="1"/>
    <col min="9" max="12" width="10" style="46" hidden="1" customWidth="1"/>
    <col min="13" max="18" width="41.6640625" style="46" hidden="1" customWidth="1"/>
    <col min="19" max="19" width="10" style="46" hidden="1" customWidth="1"/>
    <col min="20" max="21" width="10" style="46" customWidth="1"/>
    <col min="22" max="16384" width="10" style="46"/>
  </cols>
  <sheetData>
    <row r="1" spans="1:19" ht="26.25" customHeight="1" x14ac:dyDescent="0.15">
      <c r="A1" s="258" t="s">
        <v>189</v>
      </c>
      <c r="B1" s="260"/>
      <c r="C1" s="260"/>
      <c r="D1" s="260"/>
      <c r="E1" s="260"/>
      <c r="F1" s="260"/>
      <c r="G1" s="260"/>
      <c r="H1" s="260"/>
    </row>
    <row r="2" spans="1:19" ht="73.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c r="E2" s="260"/>
      <c r="F2" s="260"/>
      <c r="G2" s="260"/>
      <c r="H2" s="260"/>
      <c r="M2" s="259" t="s">
        <v>190</v>
      </c>
      <c r="N2" s="260"/>
      <c r="O2" s="260"/>
      <c r="P2" s="260"/>
    </row>
    <row r="3" spans="1:19" ht="37.5" customHeight="1" x14ac:dyDescent="0.15">
      <c r="A3" s="262" t="str">
        <f>'Công trình'!F6</f>
        <v>THÍ NGHIỆM SIÊU ÂM KIỂM TRA CHẤT LƯỢNG CỌC KHOAN ĐẠI TRÀ</v>
      </c>
      <c r="B3" s="260"/>
      <c r="C3" s="260"/>
      <c r="D3" s="260"/>
      <c r="E3" s="260"/>
      <c r="F3" s="260"/>
      <c r="G3" s="260"/>
      <c r="H3" s="260"/>
      <c r="M3" s="46" t="s">
        <v>191</v>
      </c>
      <c r="N3" s="46" t="s">
        <v>192</v>
      </c>
      <c r="O3" s="46" t="s">
        <v>193</v>
      </c>
      <c r="P3" s="46" t="s">
        <v>194</v>
      </c>
      <c r="Q3" s="46" t="s">
        <v>195</v>
      </c>
      <c r="R3" s="46" t="s">
        <v>196</v>
      </c>
      <c r="S3" s="46" t="s">
        <v>197</v>
      </c>
    </row>
    <row r="4" spans="1:19" ht="18.75" customHeight="1" x14ac:dyDescent="0.15">
      <c r="A4" s="265" t="s">
        <v>4</v>
      </c>
      <c r="B4" s="267" t="s">
        <v>198</v>
      </c>
      <c r="C4" s="267" t="s">
        <v>199</v>
      </c>
      <c r="D4" s="267" t="s">
        <v>66</v>
      </c>
      <c r="E4" s="267" t="s">
        <v>17</v>
      </c>
      <c r="F4" s="267" t="s">
        <v>200</v>
      </c>
      <c r="G4" s="267" t="s">
        <v>67</v>
      </c>
      <c r="H4" s="267" t="s">
        <v>201</v>
      </c>
      <c r="M4" s="76">
        <f>SUM(M6:M16)</f>
        <v>0</v>
      </c>
      <c r="N4" s="76">
        <f>SUM(N6:N16)</f>
        <v>0</v>
      </c>
      <c r="O4" s="76">
        <f>SUM(O6:O16)</f>
        <v>168610.17600000001</v>
      </c>
      <c r="P4" s="76">
        <f>SUM(P6:P16)</f>
        <v>1542446.4384000001</v>
      </c>
    </row>
    <row r="5" spans="1:19" ht="26.25" customHeight="1" x14ac:dyDescent="0.15">
      <c r="A5" s="266"/>
      <c r="B5" s="268"/>
      <c r="C5" s="268"/>
      <c r="D5" s="268"/>
      <c r="E5" s="268"/>
      <c r="F5" s="268"/>
      <c r="G5" s="268"/>
      <c r="H5" s="268"/>
    </row>
    <row r="6" spans="1:19" ht="40.5" customHeight="1" x14ac:dyDescent="0.15">
      <c r="A6" s="107">
        <f>'Công trình'!A7</f>
        <v>1</v>
      </c>
      <c r="B6" s="88" t="str">
        <f>'Công trình'!E7</f>
        <v>CE.12910</v>
      </c>
      <c r="C6" s="89" t="str">
        <f>'Công trình'!F7</f>
        <v>Thí nghiệm kiểm tra chất lượng cọc bê tông bằng phương pháp siêu âm</v>
      </c>
      <c r="D6" s="88" t="str">
        <f>'Công trình'!G7</f>
        <v>mặt cắt/lần TN</v>
      </c>
      <c r="E6" s="108">
        <f>'Công trình'!P7</f>
        <v>1008</v>
      </c>
      <c r="F6" s="103"/>
      <c r="G6" s="104"/>
      <c r="H6" s="81"/>
    </row>
    <row r="7" spans="1:19" ht="15.75" customHeight="1" x14ac:dyDescent="0.15">
      <c r="A7" s="109"/>
      <c r="B7" s="28"/>
      <c r="C7" s="110" t="s">
        <v>202</v>
      </c>
      <c r="D7" s="28"/>
      <c r="E7" s="81"/>
      <c r="F7" s="103"/>
      <c r="G7" s="104"/>
      <c r="H7" s="81"/>
    </row>
    <row r="8" spans="1:19" ht="15.75" customHeight="1" x14ac:dyDescent="0.15">
      <c r="A8" s="109"/>
      <c r="B8" s="28" t="str">
        <f>'Giá tháng'!B9</f>
        <v>A28.0325</v>
      </c>
      <c r="C8" s="25" t="str">
        <f>'Giá tháng'!C9</f>
        <v>Thước thép 5m</v>
      </c>
      <c r="D8" s="28" t="str">
        <f>'Giá tháng'!D9</f>
        <v>cái</v>
      </c>
      <c r="E8" s="81"/>
      <c r="F8" s="103">
        <v>0.04</v>
      </c>
      <c r="G8" s="104">
        <f>'Giá tháng'!G9</f>
        <v>1</v>
      </c>
      <c r="H8" s="81">
        <f>E6*F8*G8</f>
        <v>40.32</v>
      </c>
      <c r="S8" s="76">
        <v>101</v>
      </c>
    </row>
    <row r="9" spans="1:19" ht="15.75" customHeight="1" x14ac:dyDescent="0.15">
      <c r="A9" s="109"/>
      <c r="B9" s="28" t="str">
        <f>'Giá tháng'!B8</f>
        <v>A28.0324</v>
      </c>
      <c r="C9" s="25" t="str">
        <f>'Giá tháng'!C8</f>
        <v>Thước thép 42m</v>
      </c>
      <c r="D9" s="28" t="str">
        <f>'Giá tháng'!D8</f>
        <v>cái</v>
      </c>
      <c r="E9" s="81"/>
      <c r="F9" s="103">
        <v>0.04</v>
      </c>
      <c r="G9" s="104">
        <f>'Giá tháng'!G8</f>
        <v>1</v>
      </c>
      <c r="H9" s="81">
        <f>E6*F9*G9</f>
        <v>40.32</v>
      </c>
      <c r="S9" s="76">
        <v>100</v>
      </c>
    </row>
    <row r="10" spans="1:19" ht="15.75" customHeight="1" x14ac:dyDescent="0.15">
      <c r="A10" s="109"/>
      <c r="B10" s="28" t="s">
        <v>203</v>
      </c>
      <c r="C10" s="25" t="s">
        <v>204</v>
      </c>
      <c r="D10" s="28" t="s">
        <v>205</v>
      </c>
      <c r="E10" s="81"/>
      <c r="F10" s="103">
        <v>5</v>
      </c>
      <c r="G10" s="104"/>
      <c r="H10" s="81"/>
      <c r="M10" s="76">
        <f>E6*F10*(F8*'Giá tháng'!E9*'Giá tháng'!G9+F9*'Giá tháng'!E8*'Giá tháng'!G8)/100</f>
        <v>0</v>
      </c>
      <c r="O10" s="76">
        <f>E6*F10*(F8*('Giá tháng'!F9+Q8+R8)*'Giá tháng'!G9+F9*('Giá tháng'!F8+Q9+R9)*'Giá tháng'!G8)/100</f>
        <v>168610.17600000001</v>
      </c>
    </row>
    <row r="11" spans="1:19" ht="15.75" customHeight="1" x14ac:dyDescent="0.15">
      <c r="A11" s="109"/>
      <c r="B11" s="28"/>
      <c r="C11" s="110" t="s">
        <v>206</v>
      </c>
      <c r="D11" s="28"/>
      <c r="E11" s="81"/>
      <c r="F11" s="103"/>
      <c r="G11" s="104"/>
      <c r="H11" s="81"/>
    </row>
    <row r="12" spans="1:19" ht="15.75" customHeight="1" x14ac:dyDescent="0.15">
      <c r="A12" s="109"/>
      <c r="B12" s="28" t="str">
        <f>'Giá tháng'!B11</f>
        <v>NKS</v>
      </c>
      <c r="C12" s="25" t="str">
        <f>'Giá tháng'!C11</f>
        <v>Kỹ sư</v>
      </c>
      <c r="D12" s="28" t="str">
        <f>'Giá tháng'!D11</f>
        <v>công</v>
      </c>
      <c r="E12" s="81"/>
      <c r="F12" s="103">
        <v>0.46</v>
      </c>
      <c r="G12" s="104">
        <f>'Giá tháng'!G11</f>
        <v>1</v>
      </c>
      <c r="H12" s="81">
        <f>E6*F12*G12</f>
        <v>463.68</v>
      </c>
      <c r="S12" s="76">
        <v>200</v>
      </c>
    </row>
    <row r="13" spans="1:19" ht="15.75" customHeight="1" x14ac:dyDescent="0.15">
      <c r="A13" s="109"/>
      <c r="B13" s="28" t="str">
        <f>'Giá tháng'!B13</f>
        <v>N3</v>
      </c>
      <c r="C13" s="25" t="str">
        <f>'Giá tháng'!C13</f>
        <v>Nhân công nhóm 3</v>
      </c>
      <c r="D13" s="28" t="str">
        <f>'Giá tháng'!D13</f>
        <v>công</v>
      </c>
      <c r="E13" s="81"/>
      <c r="F13" s="103">
        <v>1.1200000000000001</v>
      </c>
      <c r="G13" s="104">
        <f>'Giá tháng'!G13</f>
        <v>1</v>
      </c>
      <c r="H13" s="81">
        <f>E6*F13*G13</f>
        <v>1128.96</v>
      </c>
      <c r="S13" s="76">
        <v>201</v>
      </c>
    </row>
    <row r="14" spans="1:19" ht="15.75" customHeight="1" x14ac:dyDescent="0.15">
      <c r="A14" s="109"/>
      <c r="B14" s="28"/>
      <c r="C14" s="110" t="s">
        <v>207</v>
      </c>
      <c r="D14" s="28"/>
      <c r="E14" s="81"/>
      <c r="F14" s="103"/>
      <c r="G14" s="104"/>
      <c r="H14" s="81"/>
    </row>
    <row r="15" spans="1:19" ht="15.75" customHeight="1" x14ac:dyDescent="0.15">
      <c r="A15" s="109"/>
      <c r="B15" s="28" t="str">
        <f>'Giá tháng'!B15</f>
        <v>M202.0008</v>
      </c>
      <c r="C15" s="25" t="str">
        <f>'Giá tháng'!C15</f>
        <v>Bộ thiết bị siêu âm</v>
      </c>
      <c r="D15" s="28" t="str">
        <f>'Giá tháng'!D15</f>
        <v>ca</v>
      </c>
      <c r="E15" s="81"/>
      <c r="F15" s="103">
        <v>0.32</v>
      </c>
      <c r="G15" s="104">
        <f>'Giá tháng'!G15</f>
        <v>1</v>
      </c>
      <c r="H15" s="81">
        <f>E6*F15*G15</f>
        <v>322.56</v>
      </c>
      <c r="S15" s="76">
        <v>300</v>
      </c>
    </row>
    <row r="16" spans="1:19" ht="15.75" customHeight="1" x14ac:dyDescent="0.15">
      <c r="A16" s="111"/>
      <c r="B16" s="62" t="s">
        <v>208</v>
      </c>
      <c r="C16" s="37" t="s">
        <v>209</v>
      </c>
      <c r="D16" s="62" t="s">
        <v>205</v>
      </c>
      <c r="E16" s="85"/>
      <c r="F16" s="112">
        <v>1</v>
      </c>
      <c r="G16" s="113"/>
      <c r="H16" s="85"/>
      <c r="N16" s="76">
        <f>E6*F16*(F15*'Giá tháng'!E15*'Giá tháng'!G15)/100</f>
        <v>0</v>
      </c>
      <c r="P16" s="76">
        <f>E6*F16*(F15*'Giá tháng'!F15*'Giá tháng'!G15)/100</f>
        <v>1542446.4384000001</v>
      </c>
    </row>
    <row r="17" spans="1:19" ht="26.25" customHeight="1" x14ac:dyDescent="0.15">
      <c r="A17" s="258" t="str">
        <f>A1</f>
        <v>HAO PHÍ VẬT LIỆU, NHÂN CÔNG, MÁY CHO CÁC CÔNG TÁC</v>
      </c>
      <c r="B17" s="260"/>
      <c r="C17" s="260"/>
      <c r="D17" s="260"/>
      <c r="E17" s="260"/>
      <c r="F17" s="260"/>
      <c r="G17" s="260"/>
      <c r="H17" s="260"/>
    </row>
    <row r="18" spans="1:19" ht="59.25" customHeight="1" x14ac:dyDescent="0.15">
      <c r="A18"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18" s="260"/>
      <c r="C18" s="260"/>
      <c r="D18" s="260"/>
      <c r="E18" s="260"/>
      <c r="F18" s="260"/>
      <c r="G18" s="260"/>
      <c r="H18" s="260"/>
      <c r="M18" s="259" t="str">
        <f>M2</f>
        <v>VL khác, Máy khác</v>
      </c>
      <c r="N18" s="260"/>
      <c r="O18" s="260"/>
      <c r="P18" s="260"/>
    </row>
    <row r="19" spans="1:19" ht="37.5" customHeight="1" x14ac:dyDescent="0.15">
      <c r="A19" s="262" t="str">
        <f>'Công trình'!F11</f>
        <v>KHOAN KIỂM TRA XỬ LÝ ĐÁY CỌC KHOAN NHỒI ĐẠI TRÀ</v>
      </c>
      <c r="B19" s="260"/>
      <c r="C19" s="260"/>
      <c r="D19" s="260"/>
      <c r="E19" s="260"/>
      <c r="F19" s="260"/>
      <c r="G19" s="260"/>
      <c r="H19" s="260"/>
      <c r="M19" s="46" t="str">
        <f>M3</f>
        <v>VLK gốc</v>
      </c>
      <c r="N19" s="46" t="str">
        <f>N3</f>
        <v>MK gốc</v>
      </c>
      <c r="O19" s="46" t="str">
        <f>O3</f>
        <v>VLK HT</v>
      </c>
      <c r="P19" s="46" t="str">
        <f>P3</f>
        <v>MK HT</v>
      </c>
      <c r="S19" s="46" t="str">
        <f>S3</f>
        <v>So sánh</v>
      </c>
    </row>
    <row r="20" spans="1:19" ht="18.75" customHeight="1" x14ac:dyDescent="0.15">
      <c r="A20" s="265" t="str">
        <f t="shared" ref="A20:H21" si="0">A4</f>
        <v>STT</v>
      </c>
      <c r="B20" s="267" t="str">
        <f t="shared" si="0"/>
        <v>Mã hiệu</v>
      </c>
      <c r="C20" s="267" t="str">
        <f t="shared" si="0"/>
        <v>Tên công tác / vật tư</v>
      </c>
      <c r="D20" s="267" t="str">
        <f t="shared" si="0"/>
        <v>Đơn vị</v>
      </c>
      <c r="E20" s="267" t="str">
        <f t="shared" si="0"/>
        <v>Khối lượng</v>
      </c>
      <c r="F20" s="267" t="str">
        <f t="shared" si="0"/>
        <v>Định mức hao phí</v>
      </c>
      <c r="G20" s="267" t="str">
        <f t="shared" si="0"/>
        <v>Hệ số</v>
      </c>
      <c r="H20" s="267" t="str">
        <f t="shared" si="0"/>
        <v>Khối lượng hao phí</v>
      </c>
      <c r="N20" s="76">
        <f>SUM(N22:N31)</f>
        <v>0</v>
      </c>
      <c r="P20" s="76">
        <f>SUM(P22:P31)</f>
        <v>2290660.5150000001</v>
      </c>
    </row>
    <row r="21" spans="1:19" ht="26.25" customHeight="1" x14ac:dyDescent="0.15">
      <c r="A21" s="266">
        <f t="shared" si="0"/>
        <v>0</v>
      </c>
      <c r="B21" s="268">
        <f t="shared" si="0"/>
        <v>0</v>
      </c>
      <c r="C21" s="268">
        <f t="shared" si="0"/>
        <v>0</v>
      </c>
      <c r="D21" s="268">
        <f t="shared" si="0"/>
        <v>0</v>
      </c>
      <c r="E21" s="268">
        <f t="shared" si="0"/>
        <v>0</v>
      </c>
      <c r="F21" s="268">
        <f t="shared" si="0"/>
        <v>0</v>
      </c>
      <c r="G21" s="268">
        <f t="shared" si="0"/>
        <v>0</v>
      </c>
      <c r="H21" s="268">
        <f t="shared" si="0"/>
        <v>0</v>
      </c>
    </row>
    <row r="22" spans="1:19" ht="40.5" customHeight="1" x14ac:dyDescent="0.15">
      <c r="A22" s="107">
        <f>'Công trình'!A12</f>
        <v>1</v>
      </c>
      <c r="B22" s="88" t="str">
        <f>'Công trình'!E12</f>
        <v>AL.55120</v>
      </c>
      <c r="C22" s="89" t="str">
        <f>'Công trình'!F12</f>
        <v>Khoan kiểm tra, xử lý đáy cọc khoan nhồi, đường kính lỗ khoan &gt; 80mm</v>
      </c>
      <c r="D22" s="88" t="str">
        <f>'Công trình'!G12</f>
        <v>cọc</v>
      </c>
      <c r="E22" s="108">
        <f>'Công trình'!P12</f>
        <v>22</v>
      </c>
      <c r="F22" s="103"/>
      <c r="G22" s="104"/>
      <c r="H22" s="81"/>
    </row>
    <row r="23" spans="1:19" ht="15.75" customHeight="1" x14ac:dyDescent="0.15">
      <c r="A23" s="109"/>
      <c r="B23" s="28"/>
      <c r="C23" s="110" t="s">
        <v>202</v>
      </c>
      <c r="D23" s="28"/>
      <c r="E23" s="81"/>
      <c r="F23" s="103"/>
      <c r="G23" s="104"/>
      <c r="H23" s="81"/>
    </row>
    <row r="24" spans="1:19" ht="15.75" customHeight="1" x14ac:dyDescent="0.15">
      <c r="A24" s="109"/>
      <c r="B24" s="28" t="str">
        <f>'Giá tháng'!B6</f>
        <v>A24.0247</v>
      </c>
      <c r="C24" s="25" t="str">
        <f>'Giá tháng'!C6</f>
        <v>Cần khoan L=1,5m</v>
      </c>
      <c r="D24" s="28" t="str">
        <f>'Giá tháng'!D6</f>
        <v>cái</v>
      </c>
      <c r="E24" s="81"/>
      <c r="F24" s="103">
        <v>2.5999999999999999E-2</v>
      </c>
      <c r="G24" s="104">
        <f>'Giá tháng'!G6</f>
        <v>1</v>
      </c>
      <c r="H24" s="81">
        <f>E22*F24*G24</f>
        <v>0.57199999999999995</v>
      </c>
      <c r="S24" s="76">
        <v>110</v>
      </c>
    </row>
    <row r="25" spans="1:19" ht="15.75" customHeight="1" x14ac:dyDescent="0.15">
      <c r="A25" s="109"/>
      <c r="B25" s="28" t="str">
        <f>'Giá tháng'!B7</f>
        <v>A24.0492</v>
      </c>
      <c r="C25" s="25" t="str">
        <f>'Giá tháng'!C7</f>
        <v>Mũi khoan d&gt;80mm</v>
      </c>
      <c r="D25" s="28" t="str">
        <f>'Giá tháng'!D7</f>
        <v>cái</v>
      </c>
      <c r="E25" s="81"/>
      <c r="F25" s="103">
        <v>6.5000000000000002E-2</v>
      </c>
      <c r="G25" s="104">
        <f>'Giá tháng'!G7</f>
        <v>1</v>
      </c>
      <c r="H25" s="81">
        <f>E22*F25*G25</f>
        <v>1.4300000000000002</v>
      </c>
      <c r="S25" s="76">
        <v>111</v>
      </c>
    </row>
    <row r="26" spans="1:19" ht="15.75" customHeight="1" x14ac:dyDescent="0.15">
      <c r="A26" s="109"/>
      <c r="B26" s="28"/>
      <c r="C26" s="110" t="s">
        <v>206</v>
      </c>
      <c r="D26" s="28"/>
      <c r="E26" s="81"/>
      <c r="F26" s="103"/>
      <c r="G26" s="104"/>
      <c r="H26" s="81"/>
    </row>
    <row r="27" spans="1:19" ht="15.75" customHeight="1" x14ac:dyDescent="0.15">
      <c r="A27" s="109"/>
      <c r="B27" s="28" t="str">
        <f>'Giá tháng'!B12</f>
        <v>N2</v>
      </c>
      <c r="C27" s="25" t="str">
        <f>'Giá tháng'!C12</f>
        <v>Nhân công nhóm 2</v>
      </c>
      <c r="D27" s="28" t="str">
        <f>'Giá tháng'!D12</f>
        <v>công</v>
      </c>
      <c r="E27" s="81"/>
      <c r="F27" s="103">
        <v>10.5</v>
      </c>
      <c r="G27" s="104">
        <f>'Giá tháng'!G12</f>
        <v>1</v>
      </c>
      <c r="H27" s="81">
        <f>E22*F27*G27</f>
        <v>231</v>
      </c>
      <c r="S27" s="76">
        <v>210</v>
      </c>
    </row>
    <row r="28" spans="1:19" ht="15.75" customHeight="1" x14ac:dyDescent="0.15">
      <c r="A28" s="109"/>
      <c r="B28" s="28"/>
      <c r="C28" s="110" t="s">
        <v>207</v>
      </c>
      <c r="D28" s="28"/>
      <c r="E28" s="81"/>
      <c r="F28" s="103"/>
      <c r="G28" s="104"/>
      <c r="H28" s="81"/>
    </row>
    <row r="29" spans="1:19" ht="28.5" customHeight="1" x14ac:dyDescent="0.15">
      <c r="A29" s="109"/>
      <c r="B29" s="28" t="str">
        <f>'Giá tháng'!B16</f>
        <v>M107.0202</v>
      </c>
      <c r="C29" s="25" t="str">
        <f>'Giá tháng'!C16</f>
        <v>Máy khoan xoay đập tự hành F105mm</v>
      </c>
      <c r="D29" s="28" t="str">
        <f>'Giá tháng'!D16</f>
        <v>ca</v>
      </c>
      <c r="E29" s="81"/>
      <c r="F29" s="103">
        <v>0.45</v>
      </c>
      <c r="G29" s="104">
        <f>'Giá tháng'!G16</f>
        <v>1</v>
      </c>
      <c r="H29" s="81">
        <f>E22*F29*G29</f>
        <v>9.9</v>
      </c>
      <c r="S29" s="76">
        <v>310</v>
      </c>
    </row>
    <row r="30" spans="1:19" ht="15.75" customHeight="1" x14ac:dyDescent="0.15">
      <c r="A30" s="109"/>
      <c r="B30" s="28" t="str">
        <f>'Giá tháng'!B17</f>
        <v>M108.0307</v>
      </c>
      <c r="C30" s="25" t="str">
        <f>'Giá tháng'!C17</f>
        <v>Máy nén khí diezel 660 m3/h</v>
      </c>
      <c r="D30" s="28" t="str">
        <f>'Giá tháng'!D17</f>
        <v>ca</v>
      </c>
      <c r="E30" s="81"/>
      <c r="F30" s="103">
        <v>0.45</v>
      </c>
      <c r="G30" s="104">
        <f>'Giá tháng'!G17</f>
        <v>1</v>
      </c>
      <c r="H30" s="81">
        <f>E22*F30*G30</f>
        <v>9.9</v>
      </c>
      <c r="S30" s="76">
        <v>311</v>
      </c>
    </row>
    <row r="31" spans="1:19" ht="15.75" customHeight="1" x14ac:dyDescent="0.15">
      <c r="A31" s="111"/>
      <c r="B31" s="62" t="s">
        <v>208</v>
      </c>
      <c r="C31" s="37" t="s">
        <v>209</v>
      </c>
      <c r="D31" s="62" t="s">
        <v>205</v>
      </c>
      <c r="E31" s="85"/>
      <c r="F31" s="112">
        <v>5</v>
      </c>
      <c r="G31" s="113"/>
      <c r="H31" s="85"/>
      <c r="N31" s="76">
        <f>E22*F31*(F29*'Giá tháng'!E16*'Giá tháng'!G16+F30*'Giá tháng'!E17*'Giá tháng'!G17)/100</f>
        <v>0</v>
      </c>
      <c r="P31" s="76">
        <f>E22*F31*(F29*'Giá tháng'!F16*'Giá tháng'!G16+F30*'Giá tháng'!F17*'Giá tháng'!G17)/100</f>
        <v>2290660.5150000001</v>
      </c>
    </row>
  </sheetData>
  <mergeCells count="24">
    <mergeCell ref="A1:H1"/>
    <mergeCell ref="A2:H2"/>
    <mergeCell ref="A3:H3"/>
    <mergeCell ref="A4:A5"/>
    <mergeCell ref="B4:B5"/>
    <mergeCell ref="C4:C5"/>
    <mergeCell ref="D4:D5"/>
    <mergeCell ref="E4:E5"/>
    <mergeCell ref="F4:F5"/>
    <mergeCell ref="G4:G5"/>
    <mergeCell ref="H4:H5"/>
    <mergeCell ref="M2:P2"/>
    <mergeCell ref="A17:H17"/>
    <mergeCell ref="A18:H18"/>
    <mergeCell ref="A19:H19"/>
    <mergeCell ref="A20:A21"/>
    <mergeCell ref="B20:B21"/>
    <mergeCell ref="C20:C21"/>
    <mergeCell ref="D20:D21"/>
    <mergeCell ref="E20:E21"/>
    <mergeCell ref="F20:F21"/>
    <mergeCell ref="G20:G21"/>
    <mergeCell ref="H20:H21"/>
    <mergeCell ref="M18:P18"/>
  </mergeCells>
  <pageMargins left="1.2291666666666667" right="0" top="4.1666666666666664E-2" bottom="0.20833333333333334" header="0.57291666666666663" footer="0.40625"/>
  <pageSetup paperSize="0" orientation="landscape" blackAndWhite="1" useFirstPageNumber="1"/>
  <headerFooter>
    <oddFooter>&amp;C&amp;P</oddFooter>
  </headerFooter>
  <rowBreaks count="1" manualBreakCount="1">
    <brk id="16" max="2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3"/>
  <sheetViews>
    <sheetView workbookViewId="0"/>
  </sheetViews>
  <sheetFormatPr defaultColWidth="10" defaultRowHeight="15" customHeight="1" x14ac:dyDescent="0.15"/>
  <cols>
    <col min="1" max="1" width="6.5" style="46" customWidth="1"/>
    <col min="2" max="2" width="14.1640625" style="46" customWidth="1"/>
    <col min="3" max="3" width="48.33203125" style="46" customWidth="1"/>
    <col min="4" max="4" width="11.6640625" style="46" customWidth="1"/>
    <col min="5" max="6" width="15" style="46" customWidth="1"/>
    <col min="7" max="9" width="15" style="46" hidden="1" customWidth="1"/>
    <col min="10" max="10" width="9.1640625" style="46" customWidth="1"/>
    <col min="11" max="11" width="15.83203125" style="46" hidden="1" customWidth="1"/>
    <col min="12" max="14" width="15" style="46" hidden="1" customWidth="1"/>
    <col min="15" max="15" width="15" style="46" customWidth="1"/>
    <col min="16" max="16" width="15" style="46" hidden="1" customWidth="1"/>
    <col min="17" max="18" width="15" style="46" customWidth="1"/>
    <col min="19" max="19" width="83.33203125" style="46" customWidth="1"/>
    <col min="20" max="21" width="10" style="46" hidden="1" customWidth="1"/>
    <col min="22" max="23" width="10" style="46" customWidth="1"/>
    <col min="24" max="16384" width="10" style="46"/>
  </cols>
  <sheetData>
    <row r="1" spans="1:21" ht="26.25" customHeight="1" x14ac:dyDescent="0.15">
      <c r="A1" s="258" t="s">
        <v>210</v>
      </c>
      <c r="B1" s="260"/>
      <c r="C1" s="260"/>
      <c r="D1" s="260"/>
      <c r="E1" s="260"/>
      <c r="F1" s="260"/>
      <c r="G1" s="260"/>
      <c r="H1" s="260"/>
      <c r="I1" s="260"/>
      <c r="J1" s="260"/>
      <c r="K1" s="260"/>
      <c r="L1" s="260"/>
      <c r="M1" s="260"/>
      <c r="N1" s="260"/>
      <c r="O1" s="260"/>
      <c r="P1" s="260"/>
      <c r="Q1" s="260"/>
      <c r="R1" s="260"/>
    </row>
    <row r="2" spans="1:21" ht="32.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c r="E2" s="260"/>
      <c r="F2" s="260"/>
      <c r="G2" s="260"/>
      <c r="H2" s="260"/>
      <c r="I2" s="260"/>
      <c r="J2" s="260"/>
      <c r="K2" s="260"/>
      <c r="L2" s="260"/>
      <c r="M2" s="260"/>
      <c r="N2" s="260"/>
      <c r="O2" s="260"/>
      <c r="P2" s="260"/>
      <c r="Q2" s="260"/>
      <c r="R2" s="260"/>
    </row>
    <row r="3" spans="1:21" ht="37.5" customHeight="1" x14ac:dyDescent="0.15">
      <c r="A3" s="262" t="str">
        <f>'Công trình'!F6</f>
        <v>THÍ NGHIỆM SIÊU ÂM KIỂM TRA CHẤT LƯỢNG CỌC KHOAN ĐẠI TRÀ</v>
      </c>
      <c r="B3" s="260"/>
      <c r="C3" s="260"/>
      <c r="D3" s="260"/>
      <c r="E3" s="260"/>
      <c r="F3" s="260"/>
      <c r="G3" s="260"/>
      <c r="H3" s="260"/>
      <c r="I3" s="260"/>
      <c r="J3" s="260"/>
      <c r="K3" s="260"/>
      <c r="L3" s="260"/>
      <c r="M3" s="260"/>
      <c r="N3" s="260"/>
      <c r="O3" s="260"/>
      <c r="P3" s="260"/>
      <c r="Q3" s="260"/>
      <c r="R3" s="260"/>
    </row>
    <row r="4" spans="1:21" ht="45" customHeight="1" x14ac:dyDescent="0.15">
      <c r="A4" s="52" t="s">
        <v>4</v>
      </c>
      <c r="B4" s="19" t="s">
        <v>64</v>
      </c>
      <c r="C4" s="19" t="s">
        <v>65</v>
      </c>
      <c r="D4" s="19" t="s">
        <v>66</v>
      </c>
      <c r="E4" s="19" t="s">
        <v>17</v>
      </c>
      <c r="F4" s="19" t="str">
        <f>"Giá gốc
"&amp;'Công trình'!AM1</f>
        <v>Giá gốc
(đ)</v>
      </c>
      <c r="G4" s="19" t="str">
        <f>"Thành tiền
"&amp;'Công trình'!AM1</f>
        <v>Thành tiền
(đ)</v>
      </c>
      <c r="H4" s="19" t="str">
        <f>"Giá T.B
"&amp;'Công trình'!AM1</f>
        <v>Giá T.B
(đ)</v>
      </c>
      <c r="I4" s="19" t="str">
        <f>"Thành tiền
"&amp;'Công trình'!AM1</f>
        <v>Thành tiền
(đ)</v>
      </c>
      <c r="J4" s="19" t="s">
        <v>67</v>
      </c>
      <c r="K4" s="19" t="str">
        <f>"Giá T.B x H.S
"&amp;'Công trình'!AM1</f>
        <v>Giá T.B x H.S
(đ)</v>
      </c>
      <c r="L4" s="19" t="str">
        <f>"Thành tiền
"&amp;'Công trình'!AM1</f>
        <v>Thành tiền
(đ)</v>
      </c>
      <c r="M4" s="19" t="str">
        <f>"Cước V.C
Bù NL, lương
"&amp;'Công trình'!AM1</f>
        <v>Cước V.C
Bù NL, lương
(đ)</v>
      </c>
      <c r="N4" s="19" t="str">
        <f>"Thành tiền
"&amp;'Công trình'!AM1</f>
        <v>Thành tiền
(đ)</v>
      </c>
      <c r="O4" s="19" t="str">
        <f>"Giá H.T
"&amp;'Công trình'!AM1</f>
        <v>Giá H.T
(đ)</v>
      </c>
      <c r="P4" s="19" t="str">
        <f>"Thành tiền
"&amp;'Công trình'!AM1</f>
        <v>Thành tiền
(đ)</v>
      </c>
      <c r="Q4" s="19" t="str">
        <f>"Chênh lệch
"&amp;'Công trình'!AM1</f>
        <v>Chênh lệch
(đ)</v>
      </c>
      <c r="R4" s="19" t="str">
        <f>"Tổng chênh
"&amp;'Công trình'!AM1</f>
        <v>Tổng chênh
(đ)</v>
      </c>
      <c r="S4" s="13" t="s">
        <v>19</v>
      </c>
      <c r="T4" s="46" t="s">
        <v>211</v>
      </c>
      <c r="U4" s="46" t="s">
        <v>196</v>
      </c>
    </row>
    <row r="5" spans="1:21" ht="14.25" customHeight="1" x14ac:dyDescent="0.15">
      <c r="A5" s="53" t="s">
        <v>70</v>
      </c>
      <c r="B5" s="54"/>
      <c r="C5" s="54" t="s">
        <v>71</v>
      </c>
      <c r="D5" s="54"/>
      <c r="E5" s="114"/>
      <c r="F5" s="115"/>
      <c r="G5" s="115"/>
      <c r="H5" s="116"/>
      <c r="I5" s="115"/>
      <c r="J5" s="55"/>
      <c r="K5" s="115"/>
      <c r="L5" s="115"/>
      <c r="M5" s="115"/>
      <c r="N5" s="115"/>
      <c r="O5" s="115"/>
      <c r="P5" s="115"/>
      <c r="Q5" s="115"/>
      <c r="R5" s="115"/>
    </row>
    <row r="6" spans="1:21" ht="15.75" customHeight="1" x14ac:dyDescent="0.15">
      <c r="A6" s="57">
        <v>1</v>
      </c>
      <c r="B6" s="28" t="str">
        <f>'Giá tháng'!B8</f>
        <v>A28.0324</v>
      </c>
      <c r="C6" s="25" t="str">
        <f>'Giá tháng'!C8</f>
        <v>Thước thép 42m</v>
      </c>
      <c r="D6" s="28" t="str">
        <f>'Giá tháng'!D8</f>
        <v>cái</v>
      </c>
      <c r="E6" s="81">
        <f>SUMIF(HaoPhiVatTu!S6:S16,100,HaoPhiVatTu!H6:H16)</f>
        <v>40.32</v>
      </c>
      <c r="F6" s="82">
        <f>'Giá tháng'!E8</f>
        <v>0</v>
      </c>
      <c r="G6" s="82">
        <f>E6*F6</f>
        <v>0</v>
      </c>
      <c r="H6" s="117">
        <f>'Giá tháng'!F8</f>
        <v>70000</v>
      </c>
      <c r="I6" s="82">
        <f>E6*H6</f>
        <v>2822400</v>
      </c>
      <c r="J6" s="58">
        <v>1</v>
      </c>
      <c r="K6" s="82">
        <f>H6*J6</f>
        <v>70000</v>
      </c>
      <c r="L6" s="82">
        <f>E6*K6</f>
        <v>2822400</v>
      </c>
      <c r="M6" s="82">
        <f>T6+U6</f>
        <v>0</v>
      </c>
      <c r="N6" s="82">
        <f>E6*M6</f>
        <v>0</v>
      </c>
      <c r="O6" s="82">
        <f>H6+M6</f>
        <v>70000</v>
      </c>
      <c r="P6" s="82">
        <f>E6*O6</f>
        <v>2822400</v>
      </c>
      <c r="Q6" s="82">
        <f>O6-F6</f>
        <v>70000</v>
      </c>
      <c r="R6" s="82">
        <f>P6-G6</f>
        <v>2822400</v>
      </c>
      <c r="S6" s="46" t="str">
        <f>'Giá tháng'!K8</f>
        <v>Tham khảo bộ đơn giá số 378/2023 Hà Nội</v>
      </c>
    </row>
    <row r="7" spans="1:21" ht="15.75" customHeight="1" x14ac:dyDescent="0.15">
      <c r="A7" s="57">
        <v>2</v>
      </c>
      <c r="B7" s="28" t="str">
        <f>'Giá tháng'!B9</f>
        <v>A28.0325</v>
      </c>
      <c r="C7" s="25" t="str">
        <f>'Giá tháng'!C9</f>
        <v>Thước thép 5m</v>
      </c>
      <c r="D7" s="28" t="str">
        <f>'Giá tháng'!D9</f>
        <v>cái</v>
      </c>
      <c r="E7" s="81">
        <f>SUMIF(HaoPhiVatTu!S6:S16,101,HaoPhiVatTu!H6:H16)</f>
        <v>40.32</v>
      </c>
      <c r="F7" s="82">
        <f>'Giá tháng'!E9</f>
        <v>0</v>
      </c>
      <c r="G7" s="82">
        <f>E7*F7</f>
        <v>0</v>
      </c>
      <c r="H7" s="117">
        <f>'Giá tháng'!F9</f>
        <v>13636</v>
      </c>
      <c r="I7" s="82">
        <f>E7*H7</f>
        <v>549803.52000000002</v>
      </c>
      <c r="J7" s="58">
        <v>1</v>
      </c>
      <c r="K7" s="82">
        <f>H7*J7</f>
        <v>13636</v>
      </c>
      <c r="L7" s="82">
        <f>E7*K7</f>
        <v>549803.52000000002</v>
      </c>
      <c r="M7" s="82">
        <f>T7+U7</f>
        <v>0</v>
      </c>
      <c r="N7" s="82">
        <f>E7*M7</f>
        <v>0</v>
      </c>
      <c r="O7" s="82">
        <f>H7+M7</f>
        <v>13636</v>
      </c>
      <c r="P7" s="82">
        <f>E7*O7</f>
        <v>549803.52000000002</v>
      </c>
      <c r="Q7" s="82">
        <f>O7-F7</f>
        <v>13636</v>
      </c>
      <c r="R7" s="82">
        <f>P7-G7</f>
        <v>549803.52000000002</v>
      </c>
      <c r="S7" s="46" t="str">
        <f>'Giá tháng'!K9</f>
        <v>Tham khảo bộ đơn giá số 378/2023 Hà Nội</v>
      </c>
    </row>
    <row r="8" spans="1:21" ht="15.75" customHeight="1" x14ac:dyDescent="0.15">
      <c r="A8" s="57">
        <v>3</v>
      </c>
      <c r="B8" s="28" t="s">
        <v>203</v>
      </c>
      <c r="C8" s="25" t="s">
        <v>204</v>
      </c>
      <c r="D8" s="28" t="s">
        <v>205</v>
      </c>
      <c r="E8" s="81"/>
      <c r="F8" s="82"/>
      <c r="G8" s="82">
        <f>HaoPhiVatTu!M4</f>
        <v>0</v>
      </c>
      <c r="H8" s="117"/>
      <c r="I8" s="82"/>
      <c r="J8" s="58"/>
      <c r="K8" s="82"/>
      <c r="L8" s="82"/>
      <c r="M8" s="82"/>
      <c r="N8" s="82"/>
      <c r="O8" s="82"/>
      <c r="P8" s="82">
        <f>HaoPhiVatTu!O4</f>
        <v>168610.17600000001</v>
      </c>
      <c r="Q8" s="82"/>
      <c r="R8" s="82">
        <f>P8-G8</f>
        <v>168610.17600000001</v>
      </c>
    </row>
    <row r="9" spans="1:21" ht="14.25" customHeight="1" x14ac:dyDescent="0.15">
      <c r="A9" s="118"/>
      <c r="B9" s="119"/>
      <c r="C9" s="120" t="s">
        <v>212</v>
      </c>
      <c r="D9" s="119"/>
      <c r="E9" s="121"/>
      <c r="F9" s="121"/>
      <c r="G9" s="121">
        <f>SUM(G6:G8)</f>
        <v>0</v>
      </c>
      <c r="H9" s="122"/>
      <c r="I9" s="121">
        <f>SUM(I6:I8)</f>
        <v>3372203.52</v>
      </c>
      <c r="J9" s="121"/>
      <c r="K9" s="121"/>
      <c r="L9" s="121">
        <f>SUM(L6:L8)</f>
        <v>3372203.52</v>
      </c>
      <c r="M9" s="121"/>
      <c r="N9" s="121">
        <f>SUM(N6:N8)</f>
        <v>0</v>
      </c>
      <c r="O9" s="121"/>
      <c r="P9" s="121">
        <f>SUM(P6:P8)</f>
        <v>3540813.696</v>
      </c>
      <c r="Q9" s="121"/>
      <c r="R9" s="121">
        <f>SUM(R6:R8)</f>
        <v>3540813.696</v>
      </c>
    </row>
    <row r="10" spans="1:21" ht="14.25" customHeight="1" x14ac:dyDescent="0.15">
      <c r="A10" s="53" t="s">
        <v>85</v>
      </c>
      <c r="B10" s="54"/>
      <c r="C10" s="54" t="s">
        <v>86</v>
      </c>
      <c r="D10" s="54"/>
      <c r="E10" s="114"/>
      <c r="F10" s="115"/>
      <c r="G10" s="115"/>
      <c r="H10" s="116"/>
      <c r="I10" s="115"/>
      <c r="J10" s="55"/>
      <c r="K10" s="115"/>
      <c r="L10" s="115"/>
      <c r="M10" s="115"/>
      <c r="N10" s="115"/>
      <c r="O10" s="115"/>
      <c r="P10" s="115"/>
      <c r="Q10" s="115"/>
      <c r="R10" s="115"/>
    </row>
    <row r="11" spans="1:21" ht="15.75" customHeight="1" x14ac:dyDescent="0.15">
      <c r="A11" s="57">
        <v>1</v>
      </c>
      <c r="B11" s="28" t="str">
        <f>'Giá tháng'!B11</f>
        <v>NKS</v>
      </c>
      <c r="C11" s="25" t="str">
        <f>'Giá tháng'!C11</f>
        <v>Kỹ sư</v>
      </c>
      <c r="D11" s="28" t="str">
        <f>'Giá tháng'!D11</f>
        <v>công</v>
      </c>
      <c r="E11" s="81">
        <f>SUMIF(HaoPhiVatTu!S6:S16,200,HaoPhiVatTu!H6:H16)</f>
        <v>463.68</v>
      </c>
      <c r="F11" s="82">
        <f>'Giá tháng'!E11</f>
        <v>0</v>
      </c>
      <c r="G11" s="82">
        <f>E11*F11</f>
        <v>0</v>
      </c>
      <c r="H11" s="117">
        <f>'Giá tháng'!F11</f>
        <v>435000</v>
      </c>
      <c r="I11" s="82">
        <f>E11*H11</f>
        <v>201700800</v>
      </c>
      <c r="J11" s="58">
        <v>1</v>
      </c>
      <c r="K11" s="82">
        <f>H11*J11</f>
        <v>435000</v>
      </c>
      <c r="L11" s="82">
        <f>E11*K11</f>
        <v>201700800</v>
      </c>
      <c r="M11" s="82"/>
      <c r="N11" s="82"/>
      <c r="O11" s="82">
        <f>H11</f>
        <v>435000</v>
      </c>
      <c r="P11" s="82">
        <f>E11*O11</f>
        <v>201700800</v>
      </c>
      <c r="Q11" s="82">
        <f>O11-F11</f>
        <v>435000</v>
      </c>
      <c r="R11" s="82">
        <f>P11-G11</f>
        <v>201700800</v>
      </c>
      <c r="S11" s="46" t="str">
        <f>'Giá tháng'!K11</f>
        <v>Được tính toán, rồi Link từ sheet Nhân công sang</v>
      </c>
    </row>
    <row r="12" spans="1:21" ht="15.75" customHeight="1" x14ac:dyDescent="0.15">
      <c r="A12" s="57">
        <v>2</v>
      </c>
      <c r="B12" s="28" t="str">
        <f>'Giá tháng'!B13</f>
        <v>N3</v>
      </c>
      <c r="C12" s="25" t="str">
        <f>'Giá tháng'!C13</f>
        <v>Nhân công nhóm 3</v>
      </c>
      <c r="D12" s="28" t="str">
        <f>'Giá tháng'!D13</f>
        <v>công</v>
      </c>
      <c r="E12" s="81">
        <f>SUMIF(HaoPhiVatTu!S6:S16,201,HaoPhiVatTu!H6:H16)</f>
        <v>1128.96</v>
      </c>
      <c r="F12" s="82">
        <f>'Giá tháng'!E13</f>
        <v>0</v>
      </c>
      <c r="G12" s="82">
        <f>E12*F12</f>
        <v>0</v>
      </c>
      <c r="H12" s="117">
        <f>'Giá tháng'!F13</f>
        <v>427000</v>
      </c>
      <c r="I12" s="82">
        <f>E12*H12</f>
        <v>482065920</v>
      </c>
      <c r="J12" s="58">
        <v>1</v>
      </c>
      <c r="K12" s="82">
        <f>H12*J12</f>
        <v>427000</v>
      </c>
      <c r="L12" s="82">
        <f>E12*K12</f>
        <v>482065920</v>
      </c>
      <c r="M12" s="82"/>
      <c r="N12" s="82"/>
      <c r="O12" s="82">
        <f>H12</f>
        <v>427000</v>
      </c>
      <c r="P12" s="82">
        <f>E12*O12</f>
        <v>482065920</v>
      </c>
      <c r="Q12" s="82">
        <f>O12-F12</f>
        <v>427000</v>
      </c>
      <c r="R12" s="82">
        <f>P12-G12</f>
        <v>482065920</v>
      </c>
      <c r="S12" s="46" t="str">
        <f>'Giá tháng'!K13</f>
        <v>Được tính toán, rồi Link từ sheet Nhân công sang</v>
      </c>
    </row>
    <row r="13" spans="1:21" ht="14.25" customHeight="1" x14ac:dyDescent="0.15">
      <c r="A13" s="118"/>
      <c r="B13" s="119"/>
      <c r="C13" s="120" t="s">
        <v>213</v>
      </c>
      <c r="D13" s="119"/>
      <c r="E13" s="121"/>
      <c r="F13" s="121"/>
      <c r="G13" s="121">
        <f>SUM(G11:G12)</f>
        <v>0</v>
      </c>
      <c r="H13" s="122"/>
      <c r="I13" s="121">
        <f>SUM(I11:I12)</f>
        <v>683766720</v>
      </c>
      <c r="J13" s="121"/>
      <c r="K13" s="121"/>
      <c r="L13" s="121">
        <f>SUM(L11:L12)</f>
        <v>683766720</v>
      </c>
      <c r="M13" s="121"/>
      <c r="N13" s="121">
        <f>SUM(N11:N12)</f>
        <v>0</v>
      </c>
      <c r="O13" s="121"/>
      <c r="P13" s="121">
        <f>SUM(P11:P12)</f>
        <v>683766720</v>
      </c>
      <c r="Q13" s="121"/>
      <c r="R13" s="121">
        <f>SUM(R11:R12)</f>
        <v>683766720</v>
      </c>
    </row>
    <row r="14" spans="1:21" ht="14.25" customHeight="1" x14ac:dyDescent="0.15">
      <c r="A14" s="53" t="s">
        <v>96</v>
      </c>
      <c r="B14" s="54"/>
      <c r="C14" s="54" t="s">
        <v>97</v>
      </c>
      <c r="D14" s="54"/>
      <c r="E14" s="114"/>
      <c r="F14" s="115"/>
      <c r="G14" s="115"/>
      <c r="H14" s="116"/>
      <c r="I14" s="115"/>
      <c r="J14" s="55"/>
      <c r="K14" s="115"/>
      <c r="L14" s="115"/>
      <c r="M14" s="115"/>
      <c r="N14" s="115"/>
      <c r="O14" s="115"/>
      <c r="P14" s="115"/>
      <c r="Q14" s="115"/>
      <c r="R14" s="115"/>
    </row>
    <row r="15" spans="1:21" ht="15.75" customHeight="1" x14ac:dyDescent="0.15">
      <c r="A15" s="57">
        <v>1</v>
      </c>
      <c r="B15" s="28" t="str">
        <f>'Giá tháng'!B15</f>
        <v>M202.0008</v>
      </c>
      <c r="C15" s="25" t="str">
        <f>'Giá tháng'!C15</f>
        <v>Bộ thiết bị siêu âm</v>
      </c>
      <c r="D15" s="28" t="str">
        <f>'Giá tháng'!D15</f>
        <v>ca</v>
      </c>
      <c r="E15" s="81">
        <f>SUMIF(HaoPhiVatTu!S6:S16,300,HaoPhiVatTu!H6:H16)</f>
        <v>322.56</v>
      </c>
      <c r="F15" s="82">
        <f>'Giá tháng'!E15</f>
        <v>0</v>
      </c>
      <c r="G15" s="82">
        <f>E15*F15</f>
        <v>0</v>
      </c>
      <c r="H15" s="117">
        <f>'Giá tháng'!F15</f>
        <v>478189</v>
      </c>
      <c r="I15" s="82">
        <f>E15*H15</f>
        <v>154244643.84</v>
      </c>
      <c r="J15" s="58">
        <v>1</v>
      </c>
      <c r="K15" s="82">
        <f>H15*J15</f>
        <v>478189</v>
      </c>
      <c r="L15" s="82">
        <f>E15*K15</f>
        <v>154244643.84</v>
      </c>
      <c r="M15" s="82"/>
      <c r="N15" s="82">
        <f>E15*J15*M15</f>
        <v>0</v>
      </c>
      <c r="O15" s="82">
        <f>H15</f>
        <v>478189</v>
      </c>
      <c r="P15" s="82">
        <f>E15*O15</f>
        <v>154244643.84</v>
      </c>
      <c r="Q15" s="82">
        <f>O15-F15</f>
        <v>478189</v>
      </c>
      <c r="R15" s="82">
        <f>P15-G15</f>
        <v>154244643.84</v>
      </c>
      <c r="S15" s="46" t="str">
        <f>'Giá tháng'!K15</f>
        <v>Được tính toán, rồi Link từ sheet Máy sang</v>
      </c>
    </row>
    <row r="16" spans="1:21" ht="15.75" customHeight="1" x14ac:dyDescent="0.15">
      <c r="A16" s="57">
        <v>2</v>
      </c>
      <c r="B16" s="28" t="s">
        <v>208</v>
      </c>
      <c r="C16" s="25" t="s">
        <v>209</v>
      </c>
      <c r="D16" s="28" t="s">
        <v>205</v>
      </c>
      <c r="E16" s="81"/>
      <c r="F16" s="82"/>
      <c r="G16" s="82">
        <f>HaoPhiVatTu!N4</f>
        <v>0</v>
      </c>
      <c r="H16" s="117"/>
      <c r="I16" s="82"/>
      <c r="J16" s="58"/>
      <c r="K16" s="82"/>
      <c r="L16" s="82"/>
      <c r="M16" s="82"/>
      <c r="N16" s="82"/>
      <c r="O16" s="82"/>
      <c r="P16" s="82">
        <f>HaoPhiVatTu!P4</f>
        <v>1542446.4384000001</v>
      </c>
      <c r="Q16" s="82"/>
      <c r="R16" s="82">
        <f>P16-G16</f>
        <v>1542446.4384000001</v>
      </c>
    </row>
    <row r="17" spans="1:19" ht="14.25" customHeight="1" x14ac:dyDescent="0.15">
      <c r="A17" s="118"/>
      <c r="B17" s="119"/>
      <c r="C17" s="120" t="s">
        <v>214</v>
      </c>
      <c r="D17" s="119"/>
      <c r="E17" s="121"/>
      <c r="F17" s="121"/>
      <c r="G17" s="121">
        <f>SUM(G15:G16)</f>
        <v>0</v>
      </c>
      <c r="H17" s="122"/>
      <c r="I17" s="121">
        <f>SUM(I15:I16)</f>
        <v>154244643.84</v>
      </c>
      <c r="J17" s="121"/>
      <c r="K17" s="121"/>
      <c r="L17" s="121">
        <f>SUM(L15:L16)</f>
        <v>154244643.84</v>
      </c>
      <c r="M17" s="121"/>
      <c r="N17" s="121">
        <f>SUM(N15:N16)</f>
        <v>0</v>
      </c>
      <c r="O17" s="121"/>
      <c r="P17" s="121">
        <f>SUM(P15:P16)</f>
        <v>155787090.2784</v>
      </c>
      <c r="Q17" s="121"/>
      <c r="R17" s="121">
        <f>SUM(R15:R16)</f>
        <v>155787090.2784</v>
      </c>
    </row>
    <row r="18" spans="1:19" ht="26.25" customHeight="1" x14ac:dyDescent="0.15">
      <c r="A18" s="258" t="str">
        <f>A1</f>
        <v>BẢNG TỔNG HỢP VẬT TƯ VÀ CHÊNH LỆCH GIÁ</v>
      </c>
      <c r="B18" s="260"/>
      <c r="C18" s="260"/>
      <c r="D18" s="260"/>
      <c r="E18" s="260"/>
      <c r="F18" s="260"/>
      <c r="G18" s="260"/>
      <c r="H18" s="260"/>
      <c r="I18" s="260"/>
      <c r="J18" s="260"/>
      <c r="K18" s="260"/>
      <c r="L18" s="260"/>
      <c r="M18" s="260"/>
      <c r="N18" s="260"/>
      <c r="O18" s="260"/>
      <c r="P18" s="260"/>
      <c r="Q18" s="260"/>
      <c r="R18" s="260"/>
    </row>
    <row r="19" spans="1:19" ht="32.25" customHeight="1" x14ac:dyDescent="0.15">
      <c r="A19"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19" s="260"/>
      <c r="C19" s="260"/>
      <c r="D19" s="260"/>
      <c r="E19" s="260"/>
      <c r="F19" s="260"/>
      <c r="G19" s="260"/>
      <c r="H19" s="260"/>
      <c r="I19" s="260"/>
      <c r="J19" s="260"/>
      <c r="K19" s="260"/>
      <c r="L19" s="260"/>
      <c r="M19" s="260"/>
      <c r="N19" s="260"/>
      <c r="O19" s="260"/>
      <c r="P19" s="260"/>
      <c r="Q19" s="260"/>
      <c r="R19" s="260"/>
    </row>
    <row r="20" spans="1:19" ht="37.5" customHeight="1" x14ac:dyDescent="0.15">
      <c r="A20" s="262" t="str">
        <f>'Công trình'!F11</f>
        <v>KHOAN KIỂM TRA XỬ LÝ ĐÁY CỌC KHOAN NHỒI ĐẠI TRÀ</v>
      </c>
      <c r="B20" s="260"/>
      <c r="C20" s="260"/>
      <c r="D20" s="260"/>
      <c r="E20" s="260"/>
      <c r="F20" s="260"/>
      <c r="G20" s="260"/>
      <c r="H20" s="260"/>
      <c r="I20" s="260"/>
      <c r="J20" s="260"/>
      <c r="K20" s="260"/>
      <c r="L20" s="260"/>
      <c r="M20" s="260"/>
      <c r="N20" s="260"/>
      <c r="O20" s="260"/>
      <c r="P20" s="260"/>
      <c r="Q20" s="260"/>
      <c r="R20" s="260"/>
    </row>
    <row r="21" spans="1:19" ht="45" customHeight="1" x14ac:dyDescent="0.15">
      <c r="A21" s="52" t="str">
        <f t="shared" ref="A21:S21" si="0">A4</f>
        <v>STT</v>
      </c>
      <c r="B21" s="19" t="str">
        <f t="shared" si="0"/>
        <v>Mã số</v>
      </c>
      <c r="C21" s="19" t="str">
        <f t="shared" si="0"/>
        <v>Tên vật tư</v>
      </c>
      <c r="D21" s="19" t="str">
        <f t="shared" si="0"/>
        <v>Đơn vị</v>
      </c>
      <c r="E21" s="19" t="str">
        <f t="shared" si="0"/>
        <v>Khối lượng</v>
      </c>
      <c r="F21" s="19" t="str">
        <f t="shared" si="0"/>
        <v>Giá gốc
(đ)</v>
      </c>
      <c r="G21" s="19" t="str">
        <f t="shared" si="0"/>
        <v>Thành tiền
(đ)</v>
      </c>
      <c r="H21" s="19" t="str">
        <f t="shared" si="0"/>
        <v>Giá T.B
(đ)</v>
      </c>
      <c r="I21" s="19" t="str">
        <f t="shared" si="0"/>
        <v>Thành tiền
(đ)</v>
      </c>
      <c r="J21" s="19" t="str">
        <f t="shared" si="0"/>
        <v>Hệ số</v>
      </c>
      <c r="K21" s="19" t="str">
        <f t="shared" si="0"/>
        <v>Giá T.B x H.S
(đ)</v>
      </c>
      <c r="L21" s="19" t="str">
        <f t="shared" si="0"/>
        <v>Thành tiền
(đ)</v>
      </c>
      <c r="M21" s="19" t="str">
        <f t="shared" si="0"/>
        <v>Cước V.C
Bù NL, lương
(đ)</v>
      </c>
      <c r="N21" s="19" t="str">
        <f t="shared" si="0"/>
        <v>Thành tiền
(đ)</v>
      </c>
      <c r="O21" s="19" t="str">
        <f t="shared" si="0"/>
        <v>Giá H.T
(đ)</v>
      </c>
      <c r="P21" s="19" t="str">
        <f t="shared" si="0"/>
        <v>Thành tiền
(đ)</v>
      </c>
      <c r="Q21" s="19" t="str">
        <f t="shared" si="0"/>
        <v>Chênh lệch
(đ)</v>
      </c>
      <c r="R21" s="19" t="str">
        <f t="shared" si="0"/>
        <v>Tổng chênh
(đ)</v>
      </c>
      <c r="S21" s="13" t="str">
        <f t="shared" si="0"/>
        <v>Ghi chú, Nguồn gốc xuất xứ</v>
      </c>
    </row>
    <row r="22" spans="1:19" ht="14.25" customHeight="1" x14ac:dyDescent="0.15">
      <c r="A22" s="53" t="s">
        <v>70</v>
      </c>
      <c r="B22" s="54"/>
      <c r="C22" s="54" t="s">
        <v>71</v>
      </c>
      <c r="D22" s="54"/>
      <c r="E22" s="114"/>
      <c r="F22" s="115"/>
      <c r="G22" s="115"/>
      <c r="H22" s="116"/>
      <c r="I22" s="115"/>
      <c r="J22" s="55"/>
      <c r="K22" s="115"/>
      <c r="L22" s="115"/>
      <c r="M22" s="115"/>
      <c r="N22" s="115"/>
      <c r="O22" s="115"/>
      <c r="P22" s="115"/>
      <c r="Q22" s="115"/>
      <c r="R22" s="115"/>
    </row>
    <row r="23" spans="1:19" ht="15.75" customHeight="1" x14ac:dyDescent="0.15">
      <c r="A23" s="57">
        <v>1</v>
      </c>
      <c r="B23" s="28" t="str">
        <f>'Giá tháng'!B6</f>
        <v>A24.0247</v>
      </c>
      <c r="C23" s="25" t="str">
        <f>'Giá tháng'!C6</f>
        <v>Cần khoan L=1,5m</v>
      </c>
      <c r="D23" s="28" t="str">
        <f>'Giá tháng'!D6</f>
        <v>cái</v>
      </c>
      <c r="E23" s="81">
        <f>SUMIF(HaoPhiVatTu!S22:S31,110,HaoPhiVatTu!H22:H31)</f>
        <v>0.57199999999999995</v>
      </c>
      <c r="F23" s="82">
        <f>'Giá tháng'!E6</f>
        <v>0</v>
      </c>
      <c r="G23" s="82">
        <f>E23*F23</f>
        <v>0</v>
      </c>
      <c r="H23" s="117">
        <f>'Giá tháng'!F6</f>
        <v>200000</v>
      </c>
      <c r="I23" s="82">
        <f>E23*H23</f>
        <v>114399.99999999999</v>
      </c>
      <c r="J23" s="58">
        <v>1</v>
      </c>
      <c r="K23" s="82">
        <f>H23*J23</f>
        <v>200000</v>
      </c>
      <c r="L23" s="82">
        <f>E23*K23</f>
        <v>114399.99999999999</v>
      </c>
      <c r="M23" s="82">
        <f>T23+U23</f>
        <v>0</v>
      </c>
      <c r="N23" s="82">
        <f>E23*M23</f>
        <v>0</v>
      </c>
      <c r="O23" s="82">
        <f>H23+M23</f>
        <v>200000</v>
      </c>
      <c r="P23" s="82">
        <f>E23*O23</f>
        <v>114399.99999999999</v>
      </c>
      <c r="Q23" s="82">
        <f>O23-F23</f>
        <v>200000</v>
      </c>
      <c r="R23" s="82">
        <f>P23-G23</f>
        <v>114399.99999999999</v>
      </c>
      <c r="S23" s="46" t="str">
        <f>'Giá tháng'!K6</f>
        <v>Tham khảo bộ đơn giá số 378/2023 Hà Nội</v>
      </c>
    </row>
    <row r="24" spans="1:19" ht="15.75" customHeight="1" x14ac:dyDescent="0.15">
      <c r="A24" s="57">
        <v>2</v>
      </c>
      <c r="B24" s="28" t="str">
        <f>'Giá tháng'!B7</f>
        <v>A24.0492</v>
      </c>
      <c r="C24" s="25" t="str">
        <f>'Giá tháng'!C7</f>
        <v>Mũi khoan d&gt;80mm</v>
      </c>
      <c r="D24" s="28" t="str">
        <f>'Giá tháng'!D7</f>
        <v>cái</v>
      </c>
      <c r="E24" s="81">
        <f>SUMIF(HaoPhiVatTu!S22:S31,111,HaoPhiVatTu!H22:H31)</f>
        <v>1.4300000000000002</v>
      </c>
      <c r="F24" s="82">
        <f>'Giá tháng'!E7</f>
        <v>0</v>
      </c>
      <c r="G24" s="82">
        <f>E24*F24</f>
        <v>0</v>
      </c>
      <c r="H24" s="117">
        <f>'Giá tháng'!F7</f>
        <v>768630</v>
      </c>
      <c r="I24" s="82">
        <f>E24*H24</f>
        <v>1099140.9000000001</v>
      </c>
      <c r="J24" s="58">
        <v>1</v>
      </c>
      <c r="K24" s="82">
        <f>H24*J24</f>
        <v>768630</v>
      </c>
      <c r="L24" s="82">
        <f>E24*K24</f>
        <v>1099140.9000000001</v>
      </c>
      <c r="M24" s="82">
        <f>T24+U24</f>
        <v>0</v>
      </c>
      <c r="N24" s="82">
        <f>E24*M24</f>
        <v>0</v>
      </c>
      <c r="O24" s="82">
        <f>H24+M24</f>
        <v>768630</v>
      </c>
      <c r="P24" s="82">
        <f>E24*O24</f>
        <v>1099140.9000000001</v>
      </c>
      <c r="Q24" s="82">
        <f>O24-F24</f>
        <v>768630</v>
      </c>
      <c r="R24" s="82">
        <f>P24-G24</f>
        <v>1099140.9000000001</v>
      </c>
      <c r="S24" s="46" t="str">
        <f>'Giá tháng'!K7</f>
        <v>Tham khảo bộ đơn giá số 378/2023 Hà Nội</v>
      </c>
    </row>
    <row r="25" spans="1:19" ht="14.25" customHeight="1" x14ac:dyDescent="0.15">
      <c r="A25" s="118"/>
      <c r="B25" s="119"/>
      <c r="C25" s="120" t="s">
        <v>212</v>
      </c>
      <c r="D25" s="119"/>
      <c r="E25" s="121"/>
      <c r="F25" s="121"/>
      <c r="G25" s="121">
        <f>SUM(G23:G24)</f>
        <v>0</v>
      </c>
      <c r="H25" s="122"/>
      <c r="I25" s="121">
        <f>SUM(I23:I24)</f>
        <v>1213540.9000000001</v>
      </c>
      <c r="J25" s="121"/>
      <c r="K25" s="121"/>
      <c r="L25" s="121">
        <f>SUM(L23:L24)</f>
        <v>1213540.9000000001</v>
      </c>
      <c r="M25" s="121"/>
      <c r="N25" s="121">
        <f>SUM(N23:N24)</f>
        <v>0</v>
      </c>
      <c r="O25" s="121"/>
      <c r="P25" s="121">
        <f>SUM(P23:P24)</f>
        <v>1213540.9000000001</v>
      </c>
      <c r="Q25" s="121"/>
      <c r="R25" s="121">
        <f>SUM(R23:R24)</f>
        <v>1213540.9000000001</v>
      </c>
    </row>
    <row r="26" spans="1:19" ht="14.25" customHeight="1" x14ac:dyDescent="0.15">
      <c r="A26" s="53" t="s">
        <v>85</v>
      </c>
      <c r="B26" s="54"/>
      <c r="C26" s="54" t="s">
        <v>86</v>
      </c>
      <c r="D26" s="54"/>
      <c r="E26" s="114"/>
      <c r="F26" s="115"/>
      <c r="G26" s="115"/>
      <c r="H26" s="116"/>
      <c r="I26" s="115"/>
      <c r="J26" s="55"/>
      <c r="K26" s="115"/>
      <c r="L26" s="115"/>
      <c r="M26" s="115"/>
      <c r="N26" s="115"/>
      <c r="O26" s="115"/>
      <c r="P26" s="115"/>
      <c r="Q26" s="115"/>
      <c r="R26" s="115"/>
    </row>
    <row r="27" spans="1:19" ht="15.75" customHeight="1" x14ac:dyDescent="0.15">
      <c r="A27" s="57">
        <v>1</v>
      </c>
      <c r="B27" s="28" t="str">
        <f>'Giá tháng'!B12</f>
        <v>N2</v>
      </c>
      <c r="C27" s="25" t="str">
        <f>'Giá tháng'!C12</f>
        <v>Nhân công nhóm 2</v>
      </c>
      <c r="D27" s="28" t="str">
        <f>'Giá tháng'!D12</f>
        <v>công</v>
      </c>
      <c r="E27" s="81">
        <f>SUMIF(HaoPhiVatTu!S22:S31,210,HaoPhiVatTu!H22:H31)</f>
        <v>231</v>
      </c>
      <c r="F27" s="82">
        <f>'Giá tháng'!E12</f>
        <v>0</v>
      </c>
      <c r="G27" s="82">
        <f>E27*F27</f>
        <v>0</v>
      </c>
      <c r="H27" s="117">
        <f>'Giá tháng'!F12</f>
        <v>413000</v>
      </c>
      <c r="I27" s="82">
        <f>E27*H27</f>
        <v>95403000</v>
      </c>
      <c r="J27" s="58">
        <v>1</v>
      </c>
      <c r="K27" s="82">
        <f>H27*J27</f>
        <v>413000</v>
      </c>
      <c r="L27" s="82">
        <f>E27*K27</f>
        <v>95403000</v>
      </c>
      <c r="M27" s="82"/>
      <c r="N27" s="82"/>
      <c r="O27" s="82">
        <f>H27</f>
        <v>413000</v>
      </c>
      <c r="P27" s="82">
        <f>E27*O27</f>
        <v>95403000</v>
      </c>
      <c r="Q27" s="82">
        <f>O27-F27</f>
        <v>413000</v>
      </c>
      <c r="R27" s="82">
        <f>P27-G27</f>
        <v>95403000</v>
      </c>
      <c r="S27" s="46" t="str">
        <f>'Giá tháng'!K12</f>
        <v>Được tính toán, rồi Link từ sheet Nhân công sang</v>
      </c>
    </row>
    <row r="28" spans="1:19" ht="14.25" customHeight="1" x14ac:dyDescent="0.15">
      <c r="A28" s="118"/>
      <c r="B28" s="119"/>
      <c r="C28" s="120" t="s">
        <v>213</v>
      </c>
      <c r="D28" s="119"/>
      <c r="E28" s="121"/>
      <c r="F28" s="121"/>
      <c r="G28" s="121">
        <f>SUM(G27:G27)</f>
        <v>0</v>
      </c>
      <c r="H28" s="122"/>
      <c r="I28" s="121">
        <f>SUM(I27:I27)</f>
        <v>95403000</v>
      </c>
      <c r="J28" s="121"/>
      <c r="K28" s="121"/>
      <c r="L28" s="121">
        <f>SUM(L27:L27)</f>
        <v>95403000</v>
      </c>
      <c r="M28" s="121"/>
      <c r="N28" s="121">
        <f>SUM(N27:N27)</f>
        <v>0</v>
      </c>
      <c r="O28" s="121"/>
      <c r="P28" s="121">
        <f>SUM(P27:P27)</f>
        <v>95403000</v>
      </c>
      <c r="Q28" s="121"/>
      <c r="R28" s="121">
        <f>SUM(R27:R27)</f>
        <v>95403000</v>
      </c>
    </row>
    <row r="29" spans="1:19" ht="14.25" customHeight="1" x14ac:dyDescent="0.15">
      <c r="A29" s="53" t="s">
        <v>96</v>
      </c>
      <c r="B29" s="54"/>
      <c r="C29" s="54" t="s">
        <v>97</v>
      </c>
      <c r="D29" s="54"/>
      <c r="E29" s="114"/>
      <c r="F29" s="115"/>
      <c r="G29" s="115"/>
      <c r="H29" s="116"/>
      <c r="I29" s="115"/>
      <c r="J29" s="55"/>
      <c r="K29" s="115"/>
      <c r="L29" s="115"/>
      <c r="M29" s="115"/>
      <c r="N29" s="115"/>
      <c r="O29" s="115"/>
      <c r="P29" s="115"/>
      <c r="Q29" s="115"/>
      <c r="R29" s="115"/>
    </row>
    <row r="30" spans="1:19" ht="15.75" customHeight="1" x14ac:dyDescent="0.15">
      <c r="A30" s="57">
        <v>1</v>
      </c>
      <c r="B30" s="28" t="str">
        <f>'Giá tháng'!B16</f>
        <v>M107.0202</v>
      </c>
      <c r="C30" s="25" t="str">
        <f>'Giá tháng'!C16</f>
        <v>Máy khoan xoay đập tự hành F105mm</v>
      </c>
      <c r="D30" s="28" t="str">
        <f>'Giá tháng'!D16</f>
        <v>ca</v>
      </c>
      <c r="E30" s="81">
        <f>SUMIF(HaoPhiVatTu!S22:S31,310,HaoPhiVatTu!H22:H31)</f>
        <v>9.9</v>
      </c>
      <c r="F30" s="82">
        <f>'Giá tháng'!E16</f>
        <v>0</v>
      </c>
      <c r="G30" s="82">
        <f>E30*F30</f>
        <v>0</v>
      </c>
      <c r="H30" s="117">
        <f>'Giá tháng'!F16</f>
        <v>2219339</v>
      </c>
      <c r="I30" s="82">
        <f>E30*H30</f>
        <v>21971456.100000001</v>
      </c>
      <c r="J30" s="58">
        <v>1</v>
      </c>
      <c r="K30" s="82">
        <f>H30*J30</f>
        <v>2219339</v>
      </c>
      <c r="L30" s="82">
        <f>E30*K30</f>
        <v>21971456.100000001</v>
      </c>
      <c r="M30" s="82"/>
      <c r="N30" s="82">
        <f>E30*J30*M30</f>
        <v>0</v>
      </c>
      <c r="O30" s="82">
        <f>H30</f>
        <v>2219339</v>
      </c>
      <c r="P30" s="82">
        <f>E30*O30</f>
        <v>21971456.100000001</v>
      </c>
      <c r="Q30" s="82">
        <f>O30-F30</f>
        <v>2219339</v>
      </c>
      <c r="R30" s="82">
        <f>P30-G30</f>
        <v>21971456.100000001</v>
      </c>
      <c r="S30" s="46" t="str">
        <f>'Giá tháng'!K16</f>
        <v>Được tính toán, rồi Link từ sheet Máy sang</v>
      </c>
    </row>
    <row r="31" spans="1:19" ht="15.75" customHeight="1" x14ac:dyDescent="0.15">
      <c r="A31" s="57">
        <v>2</v>
      </c>
      <c r="B31" s="28" t="str">
        <f>'Giá tháng'!B17</f>
        <v>M108.0307</v>
      </c>
      <c r="C31" s="25" t="str">
        <f>'Giá tháng'!C17</f>
        <v>Máy nén khí diezel 660 m3/h</v>
      </c>
      <c r="D31" s="28" t="str">
        <f>'Giá tháng'!D17</f>
        <v>ca</v>
      </c>
      <c r="E31" s="81">
        <f>SUMIF(HaoPhiVatTu!S22:S31,311,HaoPhiVatTu!H22:H31)</f>
        <v>9.9</v>
      </c>
      <c r="F31" s="82">
        <f>'Giá tháng'!E17</f>
        <v>0</v>
      </c>
      <c r="G31" s="82">
        <f>E31*F31</f>
        <v>0</v>
      </c>
      <c r="H31" s="117">
        <f>'Giá tháng'!F17</f>
        <v>2408258</v>
      </c>
      <c r="I31" s="82">
        <f>E31*H31</f>
        <v>23841754.199999999</v>
      </c>
      <c r="J31" s="58">
        <v>1</v>
      </c>
      <c r="K31" s="82">
        <f>H31*J31</f>
        <v>2408258</v>
      </c>
      <c r="L31" s="82">
        <f>E31*K31</f>
        <v>23841754.199999999</v>
      </c>
      <c r="M31" s="82"/>
      <c r="N31" s="82">
        <f>E31*J31*M31</f>
        <v>0</v>
      </c>
      <c r="O31" s="82">
        <f>H31</f>
        <v>2408258</v>
      </c>
      <c r="P31" s="82">
        <f>E31*O31</f>
        <v>23841754.199999999</v>
      </c>
      <c r="Q31" s="82">
        <f>O31-F31</f>
        <v>2408258</v>
      </c>
      <c r="R31" s="82">
        <f>P31-G31</f>
        <v>23841754.199999999</v>
      </c>
      <c r="S31" s="46" t="str">
        <f>'Giá tháng'!K17</f>
        <v>Được tính toán, rồi Link từ sheet Máy sang</v>
      </c>
    </row>
    <row r="32" spans="1:19" ht="15.75" customHeight="1" x14ac:dyDescent="0.15">
      <c r="A32" s="57">
        <v>3</v>
      </c>
      <c r="B32" s="28" t="s">
        <v>208</v>
      </c>
      <c r="C32" s="25" t="s">
        <v>209</v>
      </c>
      <c r="D32" s="28" t="s">
        <v>205</v>
      </c>
      <c r="E32" s="81"/>
      <c r="F32" s="82"/>
      <c r="G32" s="82">
        <f>HaoPhiVatTu!N20</f>
        <v>0</v>
      </c>
      <c r="H32" s="117"/>
      <c r="I32" s="82"/>
      <c r="J32" s="58"/>
      <c r="K32" s="82"/>
      <c r="L32" s="82"/>
      <c r="M32" s="82"/>
      <c r="N32" s="82"/>
      <c r="O32" s="82"/>
      <c r="P32" s="82">
        <f>HaoPhiVatTu!P20</f>
        <v>2290660.5150000001</v>
      </c>
      <c r="Q32" s="82"/>
      <c r="R32" s="82">
        <f>P32-G32</f>
        <v>2290660.5150000001</v>
      </c>
    </row>
    <row r="33" spans="1:18" ht="14.25" customHeight="1" x14ac:dyDescent="0.15">
      <c r="A33" s="118"/>
      <c r="B33" s="119"/>
      <c r="C33" s="120" t="s">
        <v>214</v>
      </c>
      <c r="D33" s="119"/>
      <c r="E33" s="121"/>
      <c r="F33" s="121"/>
      <c r="G33" s="121">
        <f>SUM(G30:G32)</f>
        <v>0</v>
      </c>
      <c r="H33" s="122"/>
      <c r="I33" s="121">
        <f>SUM(I30:I32)</f>
        <v>45813210.299999997</v>
      </c>
      <c r="J33" s="121"/>
      <c r="K33" s="121"/>
      <c r="L33" s="121">
        <f>SUM(L30:L32)</f>
        <v>45813210.299999997</v>
      </c>
      <c r="M33" s="121"/>
      <c r="N33" s="121">
        <f>SUM(N30:N32)</f>
        <v>0</v>
      </c>
      <c r="O33" s="121"/>
      <c r="P33" s="121">
        <f>SUM(P30:P32)</f>
        <v>48103870.814999998</v>
      </c>
      <c r="Q33" s="121"/>
      <c r="R33" s="121">
        <f>SUM(R30:R32)</f>
        <v>48103870.814999998</v>
      </c>
    </row>
  </sheetData>
  <mergeCells count="6">
    <mergeCell ref="A20:R20"/>
    <mergeCell ref="A1:R1"/>
    <mergeCell ref="A2:R2"/>
    <mergeCell ref="A3:R3"/>
    <mergeCell ref="A18:R18"/>
    <mergeCell ref="A19:R19"/>
  </mergeCells>
  <pageMargins left="1.2291666666666667" right="0" top="4.1666666666666664E-2" bottom="0.20833333333333334" header="0.57291666666666663" footer="0.40625"/>
  <pageSetup paperSize="0" orientation="landscape" blackAndWhite="1" useFirstPageNumber="1"/>
  <headerFooter>
    <oddFooter>&amp;C&amp;P</oddFooter>
  </headerFooter>
  <rowBreaks count="1" manualBreakCount="1">
    <brk id="17" max="2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10" defaultRowHeight="15" customHeight="1" x14ac:dyDescent="0.15"/>
  <cols>
    <col min="1" max="23" width="10" style="51" customWidth="1"/>
    <col min="24"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ColWidth="10" defaultRowHeight="15" customHeight="1" x14ac:dyDescent="0.15"/>
  <cols>
    <col min="1" max="16" width="10" style="51" customWidth="1"/>
    <col min="17" max="16384" width="10" style="51"/>
  </cols>
  <sheetData/>
  <pageMargins left="1.0208333333333333" right="0" top="4.1666666666666664E-2" bottom="0.20833333333333334" header="0.57291666666666663" footer="0.40625"/>
  <pageSetup paperSize="0" orientation="landscape" blackAndWhite="1" useFirstPageNumber="1"/>
  <headerFooter>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ColWidth="10" defaultRowHeight="15" customHeight="1" x14ac:dyDescent="0.15"/>
  <cols>
    <col min="1" max="22" width="10" style="51" customWidth="1"/>
    <col min="23" max="16384" width="10" style="51"/>
  </cols>
  <sheetData/>
  <pageMargins left="0.65625" right="0" top="4.1666666666666664E-2" bottom="0.20833333333333334" header="0.57291666666666663" footer="0.40625"/>
  <pageSetup paperSize="0" orientation="landscape" blackAndWhite="1" useFirstPageNumber="1"/>
  <headerFooter>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4"/>
  <sheetViews>
    <sheetView workbookViewId="0"/>
  </sheetViews>
  <sheetFormatPr defaultColWidth="10" defaultRowHeight="15" customHeight="1" x14ac:dyDescent="0.15"/>
  <cols>
    <col min="1" max="1" width="6.5" style="46" customWidth="1"/>
    <col min="2" max="2" width="13.33203125" style="46" customWidth="1"/>
    <col min="3" max="3" width="35.83203125" style="46" customWidth="1"/>
    <col min="4" max="4" width="9" style="46" customWidth="1"/>
    <col min="5" max="5" width="12.5" style="46" customWidth="1"/>
    <col min="6" max="6" width="15" style="46" customWidth="1"/>
    <col min="7" max="7" width="7.1640625" style="46" customWidth="1"/>
    <col min="8" max="8" width="15" style="46" customWidth="1"/>
    <col min="9" max="10" width="10" style="46" customWidth="1"/>
    <col min="11" max="16384" width="10" style="46"/>
  </cols>
  <sheetData>
    <row r="1" spans="1:8" ht="26.25" customHeight="1" x14ac:dyDescent="0.15">
      <c r="A1" s="258" t="s">
        <v>215</v>
      </c>
      <c r="B1" s="260"/>
      <c r="C1" s="260"/>
      <c r="D1" s="260"/>
      <c r="E1" s="260"/>
      <c r="F1" s="260"/>
      <c r="G1" s="260"/>
      <c r="H1" s="260"/>
    </row>
    <row r="2" spans="1:8" ht="59.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c r="E2" s="260"/>
      <c r="F2" s="260"/>
      <c r="G2" s="260"/>
      <c r="H2" s="260"/>
    </row>
    <row r="3" spans="1:8" ht="37.5" customHeight="1" x14ac:dyDescent="0.15">
      <c r="A3" s="262" t="str">
        <f>'Công trình'!F6</f>
        <v>THÍ NGHIỆM SIÊU ÂM KIỂM TRA CHẤT LƯỢNG CỌC KHOAN ĐẠI TRÀ</v>
      </c>
      <c r="B3" s="260"/>
      <c r="C3" s="260"/>
      <c r="D3" s="260"/>
      <c r="E3" s="260"/>
      <c r="F3" s="260"/>
      <c r="G3" s="260"/>
      <c r="H3" s="260"/>
    </row>
    <row r="4" spans="1:8" ht="30" customHeight="1" x14ac:dyDescent="0.15">
      <c r="A4" s="52" t="s">
        <v>4</v>
      </c>
      <c r="B4" s="19" t="s">
        <v>64</v>
      </c>
      <c r="C4" s="19" t="s">
        <v>216</v>
      </c>
      <c r="D4" s="19" t="s">
        <v>66</v>
      </c>
      <c r="E4" s="19" t="s">
        <v>179</v>
      </c>
      <c r="F4" s="19" t="str">
        <f>"Đơn giá
"&amp;'Công trình'!AM1</f>
        <v>Đơn giá
(đ)</v>
      </c>
      <c r="G4" s="19" t="s">
        <v>67</v>
      </c>
      <c r="H4" s="19" t="str">
        <f>"Thành tiền
"&amp;'Công trình'!AM1</f>
        <v>Thành tiền
(đ)</v>
      </c>
    </row>
    <row r="5" spans="1:8" ht="40.5" customHeight="1" x14ac:dyDescent="0.15">
      <c r="A5" s="107">
        <f>'Công trình'!A7</f>
        <v>1</v>
      </c>
      <c r="B5" s="88" t="str">
        <f>'Công trình'!E7</f>
        <v>CE.12910</v>
      </c>
      <c r="C5" s="89" t="str">
        <f>'Công trình'!F7</f>
        <v>Thí nghiệm kiểm tra chất lượng cọc bê tông bằng phương pháp siêu âm</v>
      </c>
      <c r="D5" s="88" t="str">
        <f>'Công trình'!G7</f>
        <v>mặt cắt/lần TN</v>
      </c>
      <c r="E5" s="123">
        <v>1</v>
      </c>
      <c r="F5" s="93"/>
      <c r="G5" s="88"/>
      <c r="H5" s="93"/>
    </row>
    <row r="6" spans="1:8" ht="15.75" customHeight="1" x14ac:dyDescent="0.15">
      <c r="A6" s="124"/>
      <c r="B6" s="125"/>
      <c r="C6" s="110" t="s">
        <v>202</v>
      </c>
      <c r="D6" s="125"/>
      <c r="E6" s="110"/>
      <c r="F6" s="126"/>
      <c r="G6" s="125"/>
      <c r="H6" s="126">
        <f>H10</f>
        <v>3512.712</v>
      </c>
    </row>
    <row r="7" spans="1:8" ht="15.75" customHeight="1" x14ac:dyDescent="0.15">
      <c r="A7" s="127"/>
      <c r="B7" s="28" t="str">
        <f>'Giá tháng'!B$9</f>
        <v>A28.0325</v>
      </c>
      <c r="C7" s="25" t="str">
        <f>'Giá tháng'!C$9</f>
        <v>Thước thép 5m</v>
      </c>
      <c r="D7" s="28" t="str">
        <f>'Giá tháng'!D$9</f>
        <v>cái</v>
      </c>
      <c r="E7" s="103">
        <f>HaoPhiVatTu!F$8</f>
        <v>0.04</v>
      </c>
      <c r="F7" s="82">
        <f>'Tổng hợp VT'!O$7</f>
        <v>13636</v>
      </c>
      <c r="G7" s="104">
        <f>'Giá tháng'!G$9</f>
        <v>1</v>
      </c>
      <c r="H7" s="82">
        <f>E7*F7*G7</f>
        <v>545.44000000000005</v>
      </c>
    </row>
    <row r="8" spans="1:8" ht="15.75" customHeight="1" x14ac:dyDescent="0.15">
      <c r="A8" s="127"/>
      <c r="B8" s="28" t="str">
        <f>'Giá tháng'!B$8</f>
        <v>A28.0324</v>
      </c>
      <c r="C8" s="25" t="str">
        <f>'Giá tháng'!C$8</f>
        <v>Thước thép 42m</v>
      </c>
      <c r="D8" s="28" t="str">
        <f>'Giá tháng'!D$8</f>
        <v>cái</v>
      </c>
      <c r="E8" s="103">
        <f>HaoPhiVatTu!F$9</f>
        <v>0.04</v>
      </c>
      <c r="F8" s="82">
        <f>'Tổng hợp VT'!O$6</f>
        <v>70000</v>
      </c>
      <c r="G8" s="104">
        <f>'Giá tháng'!G$8</f>
        <v>1</v>
      </c>
      <c r="H8" s="82">
        <f>E8*F8*G8</f>
        <v>2800</v>
      </c>
    </row>
    <row r="9" spans="1:8" ht="15.75" customHeight="1" x14ac:dyDescent="0.15">
      <c r="A9" s="127"/>
      <c r="B9" s="28" t="s">
        <v>203</v>
      </c>
      <c r="C9" s="25" t="s">
        <v>204</v>
      </c>
      <c r="D9" s="28" t="s">
        <v>205</v>
      </c>
      <c r="E9" s="103">
        <f>HaoPhiVatTu!F$10</f>
        <v>5</v>
      </c>
      <c r="F9" s="82">
        <f>SUM(H7:H8)</f>
        <v>3345.44</v>
      </c>
      <c r="G9" s="28"/>
      <c r="H9" s="82">
        <f>E9*F9/100</f>
        <v>167.27200000000002</v>
      </c>
    </row>
    <row r="10" spans="1:8" ht="15.75" customHeight="1" x14ac:dyDescent="0.15">
      <c r="A10" s="127"/>
      <c r="B10" s="28"/>
      <c r="C10" s="25" t="s">
        <v>217</v>
      </c>
      <c r="D10" s="28"/>
      <c r="E10" s="25"/>
      <c r="F10" s="82"/>
      <c r="G10" s="28"/>
      <c r="H10" s="82">
        <f>SUM(H7:H9)</f>
        <v>3512.712</v>
      </c>
    </row>
    <row r="11" spans="1:8" ht="15.75" customHeight="1" x14ac:dyDescent="0.15">
      <c r="A11" s="124"/>
      <c r="B11" s="125"/>
      <c r="C11" s="110" t="s">
        <v>206</v>
      </c>
      <c r="D11" s="125"/>
      <c r="E11" s="110"/>
      <c r="F11" s="126"/>
      <c r="G11" s="125"/>
      <c r="H11" s="126">
        <f>H14</f>
        <v>678340</v>
      </c>
    </row>
    <row r="12" spans="1:8" ht="15.75" customHeight="1" x14ac:dyDescent="0.15">
      <c r="A12" s="127"/>
      <c r="B12" s="28" t="str">
        <f>'Giá tháng'!B$11</f>
        <v>NKS</v>
      </c>
      <c r="C12" s="25" t="str">
        <f>'Giá tháng'!C$11</f>
        <v>Kỹ sư</v>
      </c>
      <c r="D12" s="28" t="str">
        <f>'Giá tháng'!D$11</f>
        <v>công</v>
      </c>
      <c r="E12" s="103">
        <f>HaoPhiVatTu!F$12</f>
        <v>0.46</v>
      </c>
      <c r="F12" s="82">
        <f>'Tổng hợp VT'!O$11</f>
        <v>435000</v>
      </c>
      <c r="G12" s="104">
        <f>'Giá tháng'!G$11</f>
        <v>1</v>
      </c>
      <c r="H12" s="82">
        <f>E12*F12*G12</f>
        <v>200100</v>
      </c>
    </row>
    <row r="13" spans="1:8" ht="15.75" customHeight="1" x14ac:dyDescent="0.15">
      <c r="A13" s="127"/>
      <c r="B13" s="28" t="str">
        <f>'Giá tháng'!B$13</f>
        <v>N3</v>
      </c>
      <c r="C13" s="25" t="str">
        <f>'Giá tháng'!C$13</f>
        <v>Nhân công nhóm 3</v>
      </c>
      <c r="D13" s="28" t="str">
        <f>'Giá tháng'!D$13</f>
        <v>công</v>
      </c>
      <c r="E13" s="103">
        <f>HaoPhiVatTu!F$13</f>
        <v>1.1200000000000001</v>
      </c>
      <c r="F13" s="82">
        <f>'Tổng hợp VT'!O$12</f>
        <v>427000</v>
      </c>
      <c r="G13" s="104">
        <f>'Giá tháng'!G$13</f>
        <v>1</v>
      </c>
      <c r="H13" s="82">
        <f>E13*F13*G13</f>
        <v>478240.00000000006</v>
      </c>
    </row>
    <row r="14" spans="1:8" ht="15.75" customHeight="1" x14ac:dyDescent="0.15">
      <c r="A14" s="127"/>
      <c r="B14" s="28"/>
      <c r="C14" s="25" t="s">
        <v>217</v>
      </c>
      <c r="D14" s="28"/>
      <c r="E14" s="25"/>
      <c r="F14" s="82"/>
      <c r="G14" s="28"/>
      <c r="H14" s="82">
        <f>SUM(H12:H13)</f>
        <v>678340</v>
      </c>
    </row>
    <row r="15" spans="1:8" ht="15.75" customHeight="1" x14ac:dyDescent="0.15">
      <c r="A15" s="124"/>
      <c r="B15" s="125"/>
      <c r="C15" s="110" t="s">
        <v>207</v>
      </c>
      <c r="D15" s="125"/>
      <c r="E15" s="110"/>
      <c r="F15" s="126"/>
      <c r="G15" s="125"/>
      <c r="H15" s="126">
        <f>H18</f>
        <v>154550.68480000002</v>
      </c>
    </row>
    <row r="16" spans="1:8" ht="15.75" customHeight="1" x14ac:dyDescent="0.15">
      <c r="A16" s="127"/>
      <c r="B16" s="28" t="str">
        <f>'Giá tháng'!B$15</f>
        <v>M202.0008</v>
      </c>
      <c r="C16" s="25" t="str">
        <f>'Giá tháng'!C$15</f>
        <v>Bộ thiết bị siêu âm</v>
      </c>
      <c r="D16" s="28" t="str">
        <f>'Giá tháng'!D$15</f>
        <v>ca</v>
      </c>
      <c r="E16" s="103">
        <f>HaoPhiVatTu!F$15</f>
        <v>0.32</v>
      </c>
      <c r="F16" s="82">
        <f>'Tổng hợp VT'!O$15</f>
        <v>478189</v>
      </c>
      <c r="G16" s="104">
        <f>'Giá tháng'!G$15</f>
        <v>1</v>
      </c>
      <c r="H16" s="82">
        <f>E16*F16*G16</f>
        <v>153020.48000000001</v>
      </c>
    </row>
    <row r="17" spans="1:8" ht="15.75" customHeight="1" x14ac:dyDescent="0.15">
      <c r="A17" s="127"/>
      <c r="B17" s="28" t="s">
        <v>208</v>
      </c>
      <c r="C17" s="25" t="s">
        <v>209</v>
      </c>
      <c r="D17" s="28" t="s">
        <v>205</v>
      </c>
      <c r="E17" s="103">
        <f>HaoPhiVatTu!F$16</f>
        <v>1</v>
      </c>
      <c r="F17" s="82">
        <f>SUM(H16:H16)</f>
        <v>153020.48000000001</v>
      </c>
      <c r="G17" s="28"/>
      <c r="H17" s="82">
        <f>E17*F17/100</f>
        <v>1530.2048000000002</v>
      </c>
    </row>
    <row r="18" spans="1:8" ht="15.75" customHeight="1" x14ac:dyDescent="0.15">
      <c r="A18" s="128"/>
      <c r="B18" s="62"/>
      <c r="C18" s="37" t="s">
        <v>217</v>
      </c>
      <c r="D18" s="62"/>
      <c r="E18" s="37"/>
      <c r="F18" s="86"/>
      <c r="G18" s="62"/>
      <c r="H18" s="86">
        <f>SUM(H16:H17)</f>
        <v>154550.68480000002</v>
      </c>
    </row>
    <row r="19" spans="1:8" ht="26.25" customHeight="1" x14ac:dyDescent="0.15">
      <c r="A19" s="258" t="str">
        <f>A1</f>
        <v>ĐƠN GIÁ XÂY DỰNG CHI TIẾT HẠNG MỤC CÔNG TRÌNH</v>
      </c>
      <c r="B19" s="259"/>
      <c r="C19" s="260"/>
      <c r="D19" s="259"/>
      <c r="E19" s="260"/>
      <c r="F19" s="260"/>
      <c r="G19" s="259"/>
      <c r="H19" s="260"/>
    </row>
    <row r="20" spans="1:8" ht="59.25" customHeight="1" x14ac:dyDescent="0.15">
      <c r="A20"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0" s="259"/>
      <c r="C20" s="260"/>
      <c r="D20" s="259"/>
      <c r="E20" s="260"/>
      <c r="F20" s="260"/>
      <c r="G20" s="259"/>
      <c r="H20" s="260"/>
    </row>
    <row r="21" spans="1:8" ht="37.5" customHeight="1" x14ac:dyDescent="0.15">
      <c r="A21" s="262" t="str">
        <f>'Công trình'!F11</f>
        <v>KHOAN KIỂM TRA XỬ LÝ ĐÁY CỌC KHOAN NHỒI ĐẠI TRÀ</v>
      </c>
      <c r="B21" s="259"/>
      <c r="C21" s="260"/>
      <c r="D21" s="259"/>
      <c r="E21" s="260"/>
      <c r="F21" s="260"/>
      <c r="G21" s="259"/>
      <c r="H21" s="260"/>
    </row>
    <row r="22" spans="1:8" ht="30" customHeight="1" x14ac:dyDescent="0.15">
      <c r="A22" s="52" t="str">
        <f t="shared" ref="A22:H22" si="0">A4</f>
        <v>STT</v>
      </c>
      <c r="B22" s="19" t="str">
        <f t="shared" si="0"/>
        <v>Mã số</v>
      </c>
      <c r="C22" s="19" t="str">
        <f t="shared" si="0"/>
        <v>Thành phần hao phí</v>
      </c>
      <c r="D22" s="19" t="str">
        <f t="shared" si="0"/>
        <v>Đơn vị</v>
      </c>
      <c r="E22" s="19" t="str">
        <f t="shared" si="0"/>
        <v>Định mức</v>
      </c>
      <c r="F22" s="19" t="str">
        <f t="shared" si="0"/>
        <v>Đơn giá
(đ)</v>
      </c>
      <c r="G22" s="19" t="str">
        <f t="shared" si="0"/>
        <v>Hệ số</v>
      </c>
      <c r="H22" s="19" t="str">
        <f t="shared" si="0"/>
        <v>Thành tiền
(đ)</v>
      </c>
    </row>
    <row r="23" spans="1:8" ht="40.5" customHeight="1" x14ac:dyDescent="0.15">
      <c r="A23" s="107">
        <f>'Công trình'!A12</f>
        <v>1</v>
      </c>
      <c r="B23" s="88" t="str">
        <f>'Công trình'!E12</f>
        <v>AL.55120</v>
      </c>
      <c r="C23" s="89" t="str">
        <f>'Công trình'!F12</f>
        <v>Khoan kiểm tra, xử lý đáy cọc khoan nhồi, đường kính lỗ khoan &gt; 80mm</v>
      </c>
      <c r="D23" s="88" t="str">
        <f>'Công trình'!G12</f>
        <v>cọc</v>
      </c>
      <c r="E23" s="123">
        <v>1</v>
      </c>
      <c r="F23" s="93"/>
      <c r="G23" s="88"/>
      <c r="H23" s="93"/>
    </row>
    <row r="24" spans="1:8" ht="15.75" customHeight="1" x14ac:dyDescent="0.15">
      <c r="A24" s="124"/>
      <c r="B24" s="125"/>
      <c r="C24" s="110" t="s">
        <v>202</v>
      </c>
      <c r="D24" s="125"/>
      <c r="E24" s="110"/>
      <c r="F24" s="126"/>
      <c r="G24" s="125"/>
      <c r="H24" s="126">
        <f>H27</f>
        <v>55160.950000000004</v>
      </c>
    </row>
    <row r="25" spans="1:8" ht="15.75" customHeight="1" x14ac:dyDescent="0.15">
      <c r="A25" s="127"/>
      <c r="B25" s="28" t="str">
        <f>'Giá tháng'!B$6</f>
        <v>A24.0247</v>
      </c>
      <c r="C25" s="25" t="str">
        <f>'Giá tháng'!C$6</f>
        <v>Cần khoan L=1,5m</v>
      </c>
      <c r="D25" s="28" t="str">
        <f>'Giá tháng'!D$6</f>
        <v>cái</v>
      </c>
      <c r="E25" s="103">
        <f>HaoPhiVatTu!F$24</f>
        <v>2.5999999999999999E-2</v>
      </c>
      <c r="F25" s="82">
        <f>'Tổng hợp VT'!O$23</f>
        <v>200000</v>
      </c>
      <c r="G25" s="104">
        <f>'Giá tháng'!G$6</f>
        <v>1</v>
      </c>
      <c r="H25" s="82">
        <f>E25*F25*G25</f>
        <v>5200</v>
      </c>
    </row>
    <row r="26" spans="1:8" ht="15.75" customHeight="1" x14ac:dyDescent="0.15">
      <c r="A26" s="127"/>
      <c r="B26" s="28" t="str">
        <f>'Giá tháng'!B$7</f>
        <v>A24.0492</v>
      </c>
      <c r="C26" s="25" t="str">
        <f>'Giá tháng'!C$7</f>
        <v>Mũi khoan d&gt;80mm</v>
      </c>
      <c r="D26" s="28" t="str">
        <f>'Giá tháng'!D$7</f>
        <v>cái</v>
      </c>
      <c r="E26" s="103">
        <f>HaoPhiVatTu!F$25</f>
        <v>6.5000000000000002E-2</v>
      </c>
      <c r="F26" s="82">
        <f>'Tổng hợp VT'!O$24</f>
        <v>768630</v>
      </c>
      <c r="G26" s="104">
        <f>'Giá tháng'!G$7</f>
        <v>1</v>
      </c>
      <c r="H26" s="82">
        <f>E26*F26*G26</f>
        <v>49960.950000000004</v>
      </c>
    </row>
    <row r="27" spans="1:8" ht="15.75" customHeight="1" x14ac:dyDescent="0.15">
      <c r="A27" s="127"/>
      <c r="B27" s="28"/>
      <c r="C27" s="25" t="s">
        <v>217</v>
      </c>
      <c r="D27" s="28"/>
      <c r="E27" s="25"/>
      <c r="F27" s="82"/>
      <c r="G27" s="28"/>
      <c r="H27" s="82">
        <f>SUM(H25:H26)</f>
        <v>55160.950000000004</v>
      </c>
    </row>
    <row r="28" spans="1:8" ht="15.75" customHeight="1" x14ac:dyDescent="0.15">
      <c r="A28" s="124"/>
      <c r="B28" s="125"/>
      <c r="C28" s="110" t="s">
        <v>206</v>
      </c>
      <c r="D28" s="125"/>
      <c r="E28" s="110"/>
      <c r="F28" s="126"/>
      <c r="G28" s="125"/>
      <c r="H28" s="126">
        <f>H29</f>
        <v>4336500</v>
      </c>
    </row>
    <row r="29" spans="1:8" ht="15.75" customHeight="1" x14ac:dyDescent="0.15">
      <c r="A29" s="127"/>
      <c r="B29" s="28" t="str">
        <f>'Giá tháng'!B$12</f>
        <v>N2</v>
      </c>
      <c r="C29" s="25" t="str">
        <f>'Giá tháng'!C$12</f>
        <v>Nhân công nhóm 2</v>
      </c>
      <c r="D29" s="28" t="str">
        <f>'Giá tháng'!D$12</f>
        <v>công</v>
      </c>
      <c r="E29" s="103">
        <f>HaoPhiVatTu!F$27</f>
        <v>10.5</v>
      </c>
      <c r="F29" s="82">
        <f>'Tổng hợp VT'!O$27</f>
        <v>413000</v>
      </c>
      <c r="G29" s="104">
        <f>'Giá tháng'!G$12</f>
        <v>1</v>
      </c>
      <c r="H29" s="82">
        <f>E29*F29*G29</f>
        <v>4336500</v>
      </c>
    </row>
    <row r="30" spans="1:8" ht="15.75" customHeight="1" x14ac:dyDescent="0.15">
      <c r="A30" s="124"/>
      <c r="B30" s="125"/>
      <c r="C30" s="110" t="s">
        <v>207</v>
      </c>
      <c r="D30" s="125"/>
      <c r="E30" s="110"/>
      <c r="F30" s="126"/>
      <c r="G30" s="125"/>
      <c r="H30" s="126">
        <f>H34</f>
        <v>2186539.5825</v>
      </c>
    </row>
    <row r="31" spans="1:8" ht="28.5" customHeight="1" x14ac:dyDescent="0.15">
      <c r="A31" s="127"/>
      <c r="B31" s="28" t="str">
        <f>'Giá tháng'!B$16</f>
        <v>M107.0202</v>
      </c>
      <c r="C31" s="25" t="str">
        <f>'Giá tháng'!C$16</f>
        <v>Máy khoan xoay đập tự hành F105mm</v>
      </c>
      <c r="D31" s="28" t="str">
        <f>'Giá tháng'!D$16</f>
        <v>ca</v>
      </c>
      <c r="E31" s="103">
        <f>HaoPhiVatTu!F$29</f>
        <v>0.45</v>
      </c>
      <c r="F31" s="82">
        <f>'Tổng hợp VT'!O$30</f>
        <v>2219339</v>
      </c>
      <c r="G31" s="104">
        <f>'Giá tháng'!G$16</f>
        <v>1</v>
      </c>
      <c r="H31" s="82">
        <f>E31*F31*G31</f>
        <v>998702.55</v>
      </c>
    </row>
    <row r="32" spans="1:8" ht="15.75" customHeight="1" x14ac:dyDescent="0.15">
      <c r="A32" s="127"/>
      <c r="B32" s="28" t="str">
        <f>'Giá tháng'!B$17</f>
        <v>M108.0307</v>
      </c>
      <c r="C32" s="25" t="str">
        <f>'Giá tháng'!C$17</f>
        <v>Máy nén khí diezel 660 m3/h</v>
      </c>
      <c r="D32" s="28" t="str">
        <f>'Giá tháng'!D$17</f>
        <v>ca</v>
      </c>
      <c r="E32" s="103">
        <f>HaoPhiVatTu!F$30</f>
        <v>0.45</v>
      </c>
      <c r="F32" s="82">
        <f>'Tổng hợp VT'!O$31</f>
        <v>2408258</v>
      </c>
      <c r="G32" s="104">
        <f>'Giá tháng'!G$17</f>
        <v>1</v>
      </c>
      <c r="H32" s="82">
        <f>E32*F32*G32</f>
        <v>1083716.1000000001</v>
      </c>
    </row>
    <row r="33" spans="1:8" ht="15.75" customHeight="1" x14ac:dyDescent="0.15">
      <c r="A33" s="127"/>
      <c r="B33" s="28" t="s">
        <v>208</v>
      </c>
      <c r="C33" s="25" t="s">
        <v>209</v>
      </c>
      <c r="D33" s="28" t="s">
        <v>205</v>
      </c>
      <c r="E33" s="103">
        <f>HaoPhiVatTu!F$31</f>
        <v>5</v>
      </c>
      <c r="F33" s="82">
        <f>SUM(H31:H32)</f>
        <v>2082418.6500000001</v>
      </c>
      <c r="G33" s="28"/>
      <c r="H33" s="82">
        <f>E33*F33/100</f>
        <v>104120.9325</v>
      </c>
    </row>
    <row r="34" spans="1:8" ht="15.75" customHeight="1" x14ac:dyDescent="0.15">
      <c r="A34" s="128"/>
      <c r="B34" s="62"/>
      <c r="C34" s="37" t="s">
        <v>217</v>
      </c>
      <c r="D34" s="62"/>
      <c r="E34" s="37"/>
      <c r="F34" s="86"/>
      <c r="G34" s="62"/>
      <c r="H34" s="86">
        <f>SUM(H31:H33)</f>
        <v>2186539.5825</v>
      </c>
    </row>
  </sheetData>
  <mergeCells count="6">
    <mergeCell ref="A21:H21"/>
    <mergeCell ref="A1:H1"/>
    <mergeCell ref="A2:H2"/>
    <mergeCell ref="A3:H3"/>
    <mergeCell ref="A19:H19"/>
    <mergeCell ref="A20:H20"/>
  </mergeCells>
  <pageMargins left="1.2291666666666667" right="0" top="4.1666666666666664E-2" bottom="0.20833333333333334" header="0.57291666666666663" footer="0.40625"/>
  <pageSetup paperSize="0" orientation="portrait" blackAndWhite="1" useFirstPageNumber="1"/>
  <headerFooter>
    <oddFooter>&amp;C&amp;P</oddFooter>
  </headerFooter>
  <rowBreaks count="1" manualBreakCount="1">
    <brk id="18"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
  <sheetViews>
    <sheetView workbookViewId="0">
      <selection sqref="A1:F1"/>
    </sheetView>
  </sheetViews>
  <sheetFormatPr defaultColWidth="10" defaultRowHeight="15" customHeight="1" x14ac:dyDescent="0.15"/>
  <cols>
    <col min="1" max="1" width="6.6640625" style="46" customWidth="1"/>
    <col min="2" max="2" width="46.6640625" style="46" customWidth="1"/>
    <col min="3" max="3" width="23.33203125" style="46" customWidth="1"/>
    <col min="4" max="4" width="18.33203125" style="46" customWidth="1"/>
    <col min="5" max="5" width="23.33203125" style="46" customWidth="1"/>
    <col min="6" max="6" width="13.33203125" style="46" customWidth="1"/>
    <col min="7" max="10" width="10" style="46" customWidth="1"/>
    <col min="11" max="16384" width="10" style="46"/>
  </cols>
  <sheetData>
    <row r="1" spans="1:6" ht="26.25" customHeight="1" x14ac:dyDescent="0.15">
      <c r="A1" s="258" t="s">
        <v>289</v>
      </c>
      <c r="B1" s="260"/>
      <c r="C1" s="260"/>
      <c r="D1" s="260"/>
      <c r="E1" s="260"/>
      <c r="F1" s="260"/>
    </row>
    <row r="2" spans="1:6" ht="101.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c r="E2" s="260"/>
      <c r="F2" s="260"/>
    </row>
    <row r="3" spans="1:6" ht="22.5" customHeight="1" x14ac:dyDescent="0.25">
      <c r="A3" s="287" t="str">
        <f>"Đơn vị tính: "&amp;'Công trình'!AM1</f>
        <v>Đơn vị tính: (đ)</v>
      </c>
      <c r="B3" s="260"/>
      <c r="C3" s="260"/>
      <c r="D3" s="260"/>
      <c r="E3" s="260"/>
      <c r="F3" s="260"/>
    </row>
    <row r="4" spans="1:6" ht="33.75" customHeight="1" x14ac:dyDescent="0.15">
      <c r="A4" s="52" t="s">
        <v>4</v>
      </c>
      <c r="B4" s="19" t="s">
        <v>226</v>
      </c>
      <c r="C4" s="19" t="s">
        <v>290</v>
      </c>
      <c r="D4" s="19" t="s">
        <v>291</v>
      </c>
      <c r="E4" s="19" t="s">
        <v>292</v>
      </c>
      <c r="F4" s="19" t="s">
        <v>229</v>
      </c>
    </row>
    <row r="5" spans="1:6" ht="28.5" customHeight="1" x14ac:dyDescent="0.15">
      <c r="A5" s="107">
        <v>1</v>
      </c>
      <c r="B5" s="89" t="s">
        <v>293</v>
      </c>
      <c r="C5" s="93"/>
      <c r="D5" s="93"/>
      <c r="E5" s="93"/>
      <c r="F5" s="88" t="s">
        <v>294</v>
      </c>
    </row>
    <row r="6" spans="1:6" ht="16.5" customHeight="1" x14ac:dyDescent="0.15">
      <c r="A6" s="109"/>
      <c r="B6" s="25"/>
      <c r="C6" s="82"/>
      <c r="D6" s="82"/>
      <c r="E6" s="82"/>
      <c r="F6" s="28"/>
    </row>
    <row r="7" spans="1:6" ht="16.5" customHeight="1" x14ac:dyDescent="0.15">
      <c r="A7" s="109"/>
      <c r="B7" s="25"/>
      <c r="C7" s="82"/>
      <c r="D7" s="82"/>
      <c r="E7" s="82"/>
      <c r="F7" s="28"/>
    </row>
    <row r="8" spans="1:6" ht="16.5" customHeight="1" x14ac:dyDescent="0.15">
      <c r="A8" s="109"/>
      <c r="B8" s="25"/>
      <c r="C8" s="82"/>
      <c r="D8" s="82"/>
      <c r="E8" s="82"/>
      <c r="F8" s="28"/>
    </row>
    <row r="9" spans="1:6" ht="16.5" customHeight="1" x14ac:dyDescent="0.15">
      <c r="A9" s="109"/>
      <c r="B9" s="25"/>
      <c r="C9" s="82"/>
      <c r="D9" s="82"/>
      <c r="E9" s="82"/>
      <c r="F9" s="28"/>
    </row>
    <row r="10" spans="1:6" ht="16.5" customHeight="1" x14ac:dyDescent="0.15">
      <c r="A10" s="109"/>
      <c r="B10" s="25"/>
      <c r="C10" s="82"/>
      <c r="D10" s="82"/>
      <c r="E10" s="82"/>
      <c r="F10" s="28"/>
    </row>
    <row r="11" spans="1:6" ht="28.5" customHeight="1" x14ac:dyDescent="0.15">
      <c r="A11" s="107">
        <v>2</v>
      </c>
      <c r="B11" s="89" t="s">
        <v>279</v>
      </c>
      <c r="C11" s="93"/>
      <c r="D11" s="93"/>
      <c r="E11" s="93"/>
      <c r="F11" s="88" t="s">
        <v>295</v>
      </c>
    </row>
    <row r="12" spans="1:6" ht="14.25" customHeight="1" x14ac:dyDescent="0.15">
      <c r="A12" s="53"/>
      <c r="B12" s="54" t="s">
        <v>296</v>
      </c>
      <c r="C12" s="130">
        <f>ROUND(C5+C11,0)</f>
        <v>0</v>
      </c>
      <c r="D12" s="130">
        <f>ROUND(D5+D11,0)</f>
        <v>0</v>
      </c>
      <c r="E12" s="130">
        <f>ROUND(E5+E11,0)</f>
        <v>0</v>
      </c>
      <c r="F12" s="54"/>
    </row>
    <row r="13" spans="1:6" ht="14.25" customHeight="1" x14ac:dyDescent="0.15">
      <c r="A13" s="53"/>
      <c r="B13" s="54" t="s">
        <v>222</v>
      </c>
      <c r="C13" s="130"/>
      <c r="D13" s="130"/>
      <c r="E13" s="130">
        <f>ROUND(E12,-3)</f>
        <v>0</v>
      </c>
      <c r="F13" s="54"/>
    </row>
    <row r="14" spans="1:6" ht="30" customHeight="1" x14ac:dyDescent="0.15">
      <c r="A14" s="253" t="s">
        <v>297</v>
      </c>
      <c r="B14" s="290"/>
      <c r="C14" s="290"/>
      <c r="D14" s="290"/>
      <c r="E14" s="290"/>
      <c r="F14" s="285"/>
    </row>
  </sheetData>
  <mergeCells count="4">
    <mergeCell ref="A1:F1"/>
    <mergeCell ref="A2:F2"/>
    <mergeCell ref="A3:F3"/>
    <mergeCell ref="A14:F14"/>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1"/>
  <sheetViews>
    <sheetView workbookViewId="0">
      <selection activeCell="B6" sqref="B6"/>
    </sheetView>
  </sheetViews>
  <sheetFormatPr defaultColWidth="10" defaultRowHeight="15" customHeight="1" x14ac:dyDescent="0.15"/>
  <cols>
    <col min="1" max="1" width="10" style="163" customWidth="1"/>
    <col min="2" max="2" width="50" style="164" customWidth="1"/>
    <col min="3" max="3" width="11.6640625" style="164" customWidth="1"/>
    <col min="4" max="5" width="15" style="46" customWidth="1"/>
    <col min="6" max="6" width="18.33203125" style="46" customWidth="1"/>
    <col min="7" max="7" width="10" style="46" customWidth="1"/>
    <col min="8" max="8" width="16.6640625" style="46" customWidth="1"/>
    <col min="9" max="9" width="18.33203125" style="46" customWidth="1"/>
    <col min="10" max="10" width="66.6640625" style="42" customWidth="1"/>
    <col min="11" max="12" width="10" style="46" customWidth="1"/>
    <col min="13" max="16384" width="10" style="46"/>
  </cols>
  <sheetData>
    <row r="1" spans="1:10" ht="26.25" customHeight="1" x14ac:dyDescent="0.15">
      <c r="A1" s="294" t="s">
        <v>298</v>
      </c>
      <c r="B1" s="295"/>
      <c r="C1" s="295"/>
      <c r="D1" s="260"/>
      <c r="E1" s="260"/>
      <c r="F1" s="260"/>
      <c r="G1" s="260"/>
      <c r="H1" s="260"/>
      <c r="I1" s="260"/>
      <c r="J1" s="296"/>
    </row>
    <row r="2" spans="1:10" ht="59.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95"/>
      <c r="C2" s="295"/>
      <c r="D2" s="260"/>
      <c r="E2" s="260"/>
      <c r="F2" s="260"/>
      <c r="G2" s="260"/>
      <c r="H2" s="260"/>
      <c r="I2" s="260"/>
      <c r="J2" s="296"/>
    </row>
    <row r="4" spans="1:10" ht="18.75" customHeight="1" x14ac:dyDescent="0.15">
      <c r="A4" s="265" t="s">
        <v>4</v>
      </c>
      <c r="B4" s="267" t="s">
        <v>299</v>
      </c>
      <c r="C4" s="267" t="s">
        <v>66</v>
      </c>
      <c r="D4" s="267" t="s">
        <v>300</v>
      </c>
      <c r="E4" s="267" t="str">
        <f>"Đơn giá
trước thuế
"&amp;'Công trình'!AM1</f>
        <v>Đơn giá
trước thuế
(đ)</v>
      </c>
      <c r="F4" s="267" t="str">
        <f>"Thành tiền
trước thuế
"&amp;'Công trình'!AM1</f>
        <v>Thành tiền
trước thuế
(đ)</v>
      </c>
      <c r="G4" s="263" t="s">
        <v>301</v>
      </c>
      <c r="H4" s="264"/>
      <c r="I4" s="267" t="str">
        <f>"Thành tiền
sau thuế
"&amp;'Công trình'!AM1</f>
        <v>Thành tiền
sau thuế
(đ)</v>
      </c>
      <c r="J4" s="267" t="s">
        <v>19</v>
      </c>
    </row>
    <row r="5" spans="1:10" ht="26.25" customHeight="1" x14ac:dyDescent="0.15">
      <c r="A5" s="297"/>
      <c r="B5" s="298"/>
      <c r="C5" s="298"/>
      <c r="D5" s="298"/>
      <c r="E5" s="298"/>
      <c r="F5" s="298"/>
      <c r="G5" s="148" t="s">
        <v>205</v>
      </c>
      <c r="H5" s="148" t="str">
        <f>"Thành tiền
"&amp;'Công trình'!AM1</f>
        <v>Thành tiền
(đ)</v>
      </c>
      <c r="I5" s="298"/>
      <c r="J5" s="298"/>
    </row>
    <row r="6" spans="1:10" ht="15.75" customHeight="1" x14ac:dyDescent="0.15">
      <c r="A6" s="149" t="s">
        <v>233</v>
      </c>
      <c r="B6" s="150" t="s">
        <v>302</v>
      </c>
      <c r="C6" s="151"/>
      <c r="D6" s="152"/>
      <c r="E6" s="153"/>
      <c r="F6" s="153">
        <f t="shared" ref="F6:F19" si="0">D6*E6</f>
        <v>0</v>
      </c>
      <c r="G6" s="154"/>
      <c r="H6" s="153">
        <f t="shared" ref="H6:H19" si="1">F6*G6/100</f>
        <v>0</v>
      </c>
      <c r="I6" s="153">
        <f t="shared" ref="I6:I19" si="2">F6+H6</f>
        <v>0</v>
      </c>
      <c r="J6" s="155"/>
    </row>
    <row r="7" spans="1:10" ht="16.5" customHeight="1" x14ac:dyDescent="0.15">
      <c r="A7" s="149"/>
      <c r="B7" s="150"/>
      <c r="C7" s="151"/>
      <c r="D7" s="152"/>
      <c r="E7" s="153"/>
      <c r="F7" s="153">
        <f t="shared" si="0"/>
        <v>0</v>
      </c>
      <c r="G7" s="154"/>
      <c r="H7" s="153">
        <f t="shared" si="1"/>
        <v>0</v>
      </c>
      <c r="I7" s="153">
        <f t="shared" si="2"/>
        <v>0</v>
      </c>
      <c r="J7" s="155"/>
    </row>
    <row r="8" spans="1:10" ht="16.5" customHeight="1" x14ac:dyDescent="0.15">
      <c r="A8" s="149"/>
      <c r="B8" s="150"/>
      <c r="C8" s="151"/>
      <c r="D8" s="152"/>
      <c r="E8" s="153"/>
      <c r="F8" s="153">
        <f t="shared" si="0"/>
        <v>0</v>
      </c>
      <c r="G8" s="154"/>
      <c r="H8" s="153">
        <f t="shared" si="1"/>
        <v>0</v>
      </c>
      <c r="I8" s="153">
        <f t="shared" si="2"/>
        <v>0</v>
      </c>
      <c r="J8" s="155"/>
    </row>
    <row r="9" spans="1:10" ht="16.5" customHeight="1" x14ac:dyDescent="0.15">
      <c r="A9" s="149"/>
      <c r="B9" s="150"/>
      <c r="C9" s="151"/>
      <c r="D9" s="152"/>
      <c r="E9" s="153"/>
      <c r="F9" s="153">
        <f t="shared" si="0"/>
        <v>0</v>
      </c>
      <c r="G9" s="154"/>
      <c r="H9" s="153">
        <f t="shared" si="1"/>
        <v>0</v>
      </c>
      <c r="I9" s="153">
        <f t="shared" si="2"/>
        <v>0</v>
      </c>
      <c r="J9" s="155"/>
    </row>
    <row r="10" spans="1:10" ht="16.5" customHeight="1" x14ac:dyDescent="0.15">
      <c r="A10" s="149"/>
      <c r="B10" s="150"/>
      <c r="C10" s="151"/>
      <c r="D10" s="152"/>
      <c r="E10" s="153"/>
      <c r="F10" s="153">
        <f t="shared" si="0"/>
        <v>0</v>
      </c>
      <c r="G10" s="154"/>
      <c r="H10" s="153">
        <f t="shared" si="1"/>
        <v>0</v>
      </c>
      <c r="I10" s="153">
        <f t="shared" si="2"/>
        <v>0</v>
      </c>
      <c r="J10" s="155"/>
    </row>
    <row r="11" spans="1:10" ht="16.5" customHeight="1" x14ac:dyDescent="0.15">
      <c r="A11" s="149"/>
      <c r="B11" s="150"/>
      <c r="C11" s="151"/>
      <c r="D11" s="152"/>
      <c r="E11" s="153"/>
      <c r="F11" s="153">
        <f t="shared" si="0"/>
        <v>0</v>
      </c>
      <c r="G11" s="154"/>
      <c r="H11" s="153">
        <f t="shared" si="1"/>
        <v>0</v>
      </c>
      <c r="I11" s="153">
        <f t="shared" si="2"/>
        <v>0</v>
      </c>
      <c r="J11" s="155"/>
    </row>
    <row r="12" spans="1:10" ht="16.5" customHeight="1" x14ac:dyDescent="0.15">
      <c r="A12" s="149"/>
      <c r="B12" s="150"/>
      <c r="C12" s="151"/>
      <c r="D12" s="152"/>
      <c r="E12" s="153"/>
      <c r="F12" s="153">
        <f t="shared" si="0"/>
        <v>0</v>
      </c>
      <c r="G12" s="154"/>
      <c r="H12" s="153">
        <f t="shared" si="1"/>
        <v>0</v>
      </c>
      <c r="I12" s="153">
        <f t="shared" si="2"/>
        <v>0</v>
      </c>
      <c r="J12" s="155"/>
    </row>
    <row r="13" spans="1:10" ht="16.5" customHeight="1" x14ac:dyDescent="0.15">
      <c r="A13" s="149"/>
      <c r="B13" s="150"/>
      <c r="C13" s="151"/>
      <c r="D13" s="152"/>
      <c r="E13" s="153"/>
      <c r="F13" s="153">
        <f t="shared" si="0"/>
        <v>0</v>
      </c>
      <c r="G13" s="154"/>
      <c r="H13" s="153">
        <f t="shared" si="1"/>
        <v>0</v>
      </c>
      <c r="I13" s="153">
        <f t="shared" si="2"/>
        <v>0</v>
      </c>
      <c r="J13" s="155"/>
    </row>
    <row r="14" spans="1:10" ht="16.5" customHeight="1" x14ac:dyDescent="0.15">
      <c r="A14" s="149"/>
      <c r="B14" s="150"/>
      <c r="C14" s="151"/>
      <c r="D14" s="152"/>
      <c r="E14" s="153"/>
      <c r="F14" s="153">
        <f t="shared" si="0"/>
        <v>0</v>
      </c>
      <c r="G14" s="154"/>
      <c r="H14" s="153">
        <f t="shared" si="1"/>
        <v>0</v>
      </c>
      <c r="I14" s="153">
        <f t="shared" si="2"/>
        <v>0</v>
      </c>
      <c r="J14" s="155"/>
    </row>
    <row r="15" spans="1:10" ht="16.5" customHeight="1" x14ac:dyDescent="0.15">
      <c r="A15" s="149"/>
      <c r="B15" s="150"/>
      <c r="C15" s="151"/>
      <c r="D15" s="152"/>
      <c r="E15" s="153"/>
      <c r="F15" s="153">
        <f t="shared" si="0"/>
        <v>0</v>
      </c>
      <c r="G15" s="154"/>
      <c r="H15" s="153">
        <f t="shared" si="1"/>
        <v>0</v>
      </c>
      <c r="I15" s="153">
        <f t="shared" si="2"/>
        <v>0</v>
      </c>
      <c r="J15" s="155"/>
    </row>
    <row r="16" spans="1:10" ht="16.5" customHeight="1" x14ac:dyDescent="0.15">
      <c r="A16" s="149"/>
      <c r="B16" s="150"/>
      <c r="C16" s="151"/>
      <c r="D16" s="152"/>
      <c r="E16" s="153"/>
      <c r="F16" s="153">
        <f t="shared" si="0"/>
        <v>0</v>
      </c>
      <c r="G16" s="154"/>
      <c r="H16" s="153">
        <f t="shared" si="1"/>
        <v>0</v>
      </c>
      <c r="I16" s="153">
        <f t="shared" si="2"/>
        <v>0</v>
      </c>
      <c r="J16" s="155"/>
    </row>
    <row r="17" spans="1:10" ht="16.5" customHeight="1" x14ac:dyDescent="0.15">
      <c r="A17" s="149"/>
      <c r="B17" s="150"/>
      <c r="C17" s="151"/>
      <c r="D17" s="152"/>
      <c r="E17" s="153"/>
      <c r="F17" s="153">
        <f t="shared" si="0"/>
        <v>0</v>
      </c>
      <c r="G17" s="154"/>
      <c r="H17" s="153">
        <f t="shared" si="1"/>
        <v>0</v>
      </c>
      <c r="I17" s="153">
        <f t="shared" si="2"/>
        <v>0</v>
      </c>
      <c r="J17" s="155"/>
    </row>
    <row r="18" spans="1:10" ht="16.5" customHeight="1" x14ac:dyDescent="0.15">
      <c r="A18" s="149"/>
      <c r="B18" s="150"/>
      <c r="C18" s="151"/>
      <c r="D18" s="152"/>
      <c r="E18" s="153"/>
      <c r="F18" s="153">
        <f t="shared" si="0"/>
        <v>0</v>
      </c>
      <c r="G18" s="154"/>
      <c r="H18" s="153">
        <f t="shared" si="1"/>
        <v>0</v>
      </c>
      <c r="I18" s="153">
        <f t="shared" si="2"/>
        <v>0</v>
      </c>
      <c r="J18" s="155"/>
    </row>
    <row r="19" spans="1:10" ht="16.5" customHeight="1" x14ac:dyDescent="0.15">
      <c r="A19" s="149"/>
      <c r="B19" s="150"/>
      <c r="C19" s="151"/>
      <c r="D19" s="152"/>
      <c r="E19" s="153"/>
      <c r="F19" s="153">
        <f t="shared" si="0"/>
        <v>0</v>
      </c>
      <c r="G19" s="154"/>
      <c r="H19" s="153">
        <f t="shared" si="1"/>
        <v>0</v>
      </c>
      <c r="I19" s="153">
        <f t="shared" si="2"/>
        <v>0</v>
      </c>
      <c r="J19" s="155"/>
    </row>
    <row r="20" spans="1:10" ht="14.25" customHeight="1" x14ac:dyDescent="0.15">
      <c r="A20" s="156"/>
      <c r="B20" s="157" t="s">
        <v>296</v>
      </c>
      <c r="C20" s="158"/>
      <c r="D20" s="159"/>
      <c r="E20" s="130"/>
      <c r="F20" s="130">
        <f>ROUND(SUM(F6:F19),0)</f>
        <v>0</v>
      </c>
      <c r="G20" s="160"/>
      <c r="H20" s="130">
        <f>ROUND(SUM(H6:H19),0)</f>
        <v>0</v>
      </c>
      <c r="I20" s="130">
        <f>ROUND(SUM(I6:I19),0)</f>
        <v>0</v>
      </c>
      <c r="J20" s="161"/>
    </row>
    <row r="21" spans="1:10" ht="30" customHeight="1" x14ac:dyDescent="0.15">
      <c r="A21" s="291" t="s">
        <v>297</v>
      </c>
      <c r="B21" s="292"/>
      <c r="C21" s="292"/>
      <c r="D21" s="290"/>
      <c r="E21" s="290"/>
      <c r="F21" s="290"/>
      <c r="G21" s="290"/>
      <c r="H21" s="290"/>
      <c r="I21" s="290"/>
      <c r="J21" s="293"/>
    </row>
  </sheetData>
  <mergeCells count="12">
    <mergeCell ref="A21:J21"/>
    <mergeCell ref="A1:J1"/>
    <mergeCell ref="A2:J2"/>
    <mergeCell ref="A4:A5"/>
    <mergeCell ref="B4:B5"/>
    <mergeCell ref="C4:C5"/>
    <mergeCell ref="D4:D5"/>
    <mergeCell ref="E4:E5"/>
    <mergeCell ref="F4:F5"/>
    <mergeCell ref="G4:H4"/>
    <mergeCell ref="I4:I5"/>
    <mergeCell ref="J4:J5"/>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ColWidth="10" defaultRowHeight="15" customHeight="1" x14ac:dyDescent="0.15"/>
  <cols>
    <col min="1" max="8" width="10" style="51" customWidth="1"/>
    <col min="9"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1"/>
  <sheetViews>
    <sheetView workbookViewId="0">
      <selection activeCell="B6" sqref="B6"/>
    </sheetView>
  </sheetViews>
  <sheetFormatPr defaultColWidth="10" defaultRowHeight="15" customHeight="1" x14ac:dyDescent="0.15"/>
  <cols>
    <col min="1" max="1" width="10" style="163" customWidth="1"/>
    <col min="2" max="2" width="50" style="164" customWidth="1"/>
    <col min="3" max="3" width="11.6640625" style="164" customWidth="1"/>
    <col min="4" max="5" width="15" style="46" customWidth="1"/>
    <col min="6" max="6" width="10" style="46" customWidth="1"/>
    <col min="7" max="7" width="18.33203125" style="46" customWidth="1"/>
    <col min="8" max="9" width="10" style="46" hidden="1" customWidth="1"/>
    <col min="10" max="10" width="66.6640625" style="42" customWidth="1"/>
    <col min="11" max="12" width="10" style="46" customWidth="1"/>
    <col min="13" max="16384" width="10" style="46"/>
  </cols>
  <sheetData>
    <row r="1" spans="1:10" ht="26.25" customHeight="1" x14ac:dyDescent="0.15">
      <c r="A1" s="294" t="s">
        <v>303</v>
      </c>
      <c r="B1" s="295"/>
      <c r="C1" s="295"/>
      <c r="D1" s="260"/>
      <c r="E1" s="260"/>
      <c r="F1" s="260"/>
      <c r="G1" s="260"/>
      <c r="H1" s="260"/>
      <c r="I1" s="260"/>
      <c r="J1" s="296"/>
    </row>
    <row r="2" spans="1:10" ht="59.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95"/>
      <c r="C2" s="295"/>
      <c r="D2" s="260"/>
      <c r="E2" s="260"/>
      <c r="F2" s="260"/>
      <c r="G2" s="260"/>
      <c r="H2" s="260"/>
      <c r="I2" s="260"/>
      <c r="J2" s="296"/>
    </row>
    <row r="4" spans="1:10" ht="18.75" customHeight="1" x14ac:dyDescent="0.15">
      <c r="A4" s="265" t="s">
        <v>4</v>
      </c>
      <c r="B4" s="267" t="s">
        <v>304</v>
      </c>
      <c r="C4" s="267" t="s">
        <v>66</v>
      </c>
      <c r="D4" s="267" t="s">
        <v>300</v>
      </c>
      <c r="E4" s="267" t="str">
        <f>"Đơn giá
"&amp;'Công trình'!AM1</f>
        <v>Đơn giá
(đ)</v>
      </c>
      <c r="F4" s="267" t="s">
        <v>18</v>
      </c>
      <c r="G4" s="267" t="str">
        <f>"Thành tiền
"&amp;'Công trình'!AM1</f>
        <v>Thành tiền
(đ)</v>
      </c>
      <c r="H4" s="19"/>
      <c r="I4" s="19" t="str">
        <f>"Thành tiền
sau thuế
"&amp;'Công trình'!AM1</f>
        <v>Thành tiền
sau thuế
(đ)</v>
      </c>
      <c r="J4" s="267" t="s">
        <v>19</v>
      </c>
    </row>
    <row r="5" spans="1:10" ht="37.5" customHeight="1" x14ac:dyDescent="0.15">
      <c r="A5" s="297"/>
      <c r="B5" s="298"/>
      <c r="C5" s="298"/>
      <c r="D5" s="298"/>
      <c r="E5" s="298"/>
      <c r="F5" s="298"/>
      <c r="G5" s="298"/>
      <c r="H5" s="148"/>
      <c r="I5" s="148"/>
      <c r="J5" s="298"/>
    </row>
    <row r="6" spans="1:10" ht="15.75" customHeight="1" x14ac:dyDescent="0.15">
      <c r="A6" s="149" t="s">
        <v>233</v>
      </c>
      <c r="B6" s="150" t="s">
        <v>305</v>
      </c>
      <c r="C6" s="151"/>
      <c r="D6" s="152"/>
      <c r="E6" s="153"/>
      <c r="F6" s="154"/>
      <c r="G6" s="153">
        <f t="shared" ref="G6:G19" si="0">D6*E6</f>
        <v>0</v>
      </c>
      <c r="H6" s="165"/>
      <c r="I6" s="165"/>
      <c r="J6" s="155"/>
    </row>
    <row r="7" spans="1:10" ht="16.5" customHeight="1" x14ac:dyDescent="0.15">
      <c r="A7" s="149"/>
      <c r="B7" s="150"/>
      <c r="C7" s="151"/>
      <c r="D7" s="152"/>
      <c r="E7" s="153"/>
      <c r="F7" s="154"/>
      <c r="G7" s="153">
        <f t="shared" si="0"/>
        <v>0</v>
      </c>
      <c r="H7" s="165"/>
      <c r="I7" s="165"/>
      <c r="J7" s="155"/>
    </row>
    <row r="8" spans="1:10" ht="16.5" customHeight="1" x14ac:dyDescent="0.15">
      <c r="A8" s="149"/>
      <c r="B8" s="150"/>
      <c r="C8" s="151"/>
      <c r="D8" s="152"/>
      <c r="E8" s="153"/>
      <c r="F8" s="154"/>
      <c r="G8" s="153">
        <f t="shared" si="0"/>
        <v>0</v>
      </c>
      <c r="H8" s="165"/>
      <c r="I8" s="165"/>
      <c r="J8" s="155"/>
    </row>
    <row r="9" spans="1:10" ht="16.5" customHeight="1" x14ac:dyDescent="0.15">
      <c r="A9" s="149"/>
      <c r="B9" s="150"/>
      <c r="C9" s="151"/>
      <c r="D9" s="152"/>
      <c r="E9" s="153"/>
      <c r="F9" s="154"/>
      <c r="G9" s="153">
        <f t="shared" si="0"/>
        <v>0</v>
      </c>
      <c r="H9" s="165"/>
      <c r="I9" s="165"/>
      <c r="J9" s="155"/>
    </row>
    <row r="10" spans="1:10" ht="16.5" customHeight="1" x14ac:dyDescent="0.15">
      <c r="A10" s="149"/>
      <c r="B10" s="150"/>
      <c r="C10" s="151"/>
      <c r="D10" s="152"/>
      <c r="E10" s="153"/>
      <c r="F10" s="154"/>
      <c r="G10" s="153">
        <f t="shared" si="0"/>
        <v>0</v>
      </c>
      <c r="H10" s="165"/>
      <c r="I10" s="165"/>
      <c r="J10" s="155"/>
    </row>
    <row r="11" spans="1:10" ht="16.5" customHeight="1" x14ac:dyDescent="0.15">
      <c r="A11" s="149"/>
      <c r="B11" s="150"/>
      <c r="C11" s="151"/>
      <c r="D11" s="152"/>
      <c r="E11" s="153"/>
      <c r="F11" s="154"/>
      <c r="G11" s="153">
        <f t="shared" si="0"/>
        <v>0</v>
      </c>
      <c r="H11" s="165"/>
      <c r="I11" s="165"/>
      <c r="J11" s="155"/>
    </row>
    <row r="12" spans="1:10" ht="16.5" customHeight="1" x14ac:dyDescent="0.15">
      <c r="A12" s="149"/>
      <c r="B12" s="150"/>
      <c r="C12" s="151"/>
      <c r="D12" s="152"/>
      <c r="E12" s="153"/>
      <c r="F12" s="154"/>
      <c r="G12" s="153">
        <f t="shared" si="0"/>
        <v>0</v>
      </c>
      <c r="H12" s="165"/>
      <c r="I12" s="165"/>
      <c r="J12" s="155"/>
    </row>
    <row r="13" spans="1:10" ht="16.5" customHeight="1" x14ac:dyDescent="0.15">
      <c r="A13" s="149"/>
      <c r="B13" s="150"/>
      <c r="C13" s="151"/>
      <c r="D13" s="152"/>
      <c r="E13" s="153"/>
      <c r="F13" s="154"/>
      <c r="G13" s="153">
        <f t="shared" si="0"/>
        <v>0</v>
      </c>
      <c r="H13" s="165"/>
      <c r="I13" s="165"/>
      <c r="J13" s="155"/>
    </row>
    <row r="14" spans="1:10" ht="16.5" customHeight="1" x14ac:dyDescent="0.15">
      <c r="A14" s="149"/>
      <c r="B14" s="150"/>
      <c r="C14" s="151"/>
      <c r="D14" s="152"/>
      <c r="E14" s="153"/>
      <c r="F14" s="154"/>
      <c r="G14" s="153">
        <f t="shared" si="0"/>
        <v>0</v>
      </c>
      <c r="H14" s="165"/>
      <c r="I14" s="165"/>
      <c r="J14" s="155"/>
    </row>
    <row r="15" spans="1:10" ht="16.5" customHeight="1" x14ac:dyDescent="0.15">
      <c r="A15" s="149"/>
      <c r="B15" s="150"/>
      <c r="C15" s="151"/>
      <c r="D15" s="152"/>
      <c r="E15" s="153"/>
      <c r="F15" s="154"/>
      <c r="G15" s="153">
        <f t="shared" si="0"/>
        <v>0</v>
      </c>
      <c r="H15" s="165"/>
      <c r="I15" s="165"/>
      <c r="J15" s="155"/>
    </row>
    <row r="16" spans="1:10" ht="16.5" customHeight="1" x14ac:dyDescent="0.15">
      <c r="A16" s="149"/>
      <c r="B16" s="150"/>
      <c r="C16" s="151"/>
      <c r="D16" s="152"/>
      <c r="E16" s="153"/>
      <c r="F16" s="154"/>
      <c r="G16" s="153">
        <f t="shared" si="0"/>
        <v>0</v>
      </c>
      <c r="H16" s="165"/>
      <c r="I16" s="165"/>
      <c r="J16" s="155"/>
    </row>
    <row r="17" spans="1:10" ht="16.5" customHeight="1" x14ac:dyDescent="0.15">
      <c r="A17" s="149"/>
      <c r="B17" s="150"/>
      <c r="C17" s="151"/>
      <c r="D17" s="152"/>
      <c r="E17" s="153"/>
      <c r="F17" s="154"/>
      <c r="G17" s="153">
        <f t="shared" si="0"/>
        <v>0</v>
      </c>
      <c r="H17" s="165"/>
      <c r="I17" s="165"/>
      <c r="J17" s="155"/>
    </row>
    <row r="18" spans="1:10" ht="16.5" customHeight="1" x14ac:dyDescent="0.15">
      <c r="A18" s="149"/>
      <c r="B18" s="150"/>
      <c r="C18" s="151"/>
      <c r="D18" s="152"/>
      <c r="E18" s="153"/>
      <c r="F18" s="154"/>
      <c r="G18" s="153">
        <f t="shared" si="0"/>
        <v>0</v>
      </c>
      <c r="H18" s="165"/>
      <c r="I18" s="165"/>
      <c r="J18" s="155"/>
    </row>
    <row r="19" spans="1:10" ht="16.5" customHeight="1" x14ac:dyDescent="0.15">
      <c r="A19" s="149"/>
      <c r="B19" s="150"/>
      <c r="C19" s="151"/>
      <c r="D19" s="152"/>
      <c r="E19" s="153"/>
      <c r="F19" s="154"/>
      <c r="G19" s="153">
        <f t="shared" si="0"/>
        <v>0</v>
      </c>
      <c r="H19" s="165"/>
      <c r="I19" s="165"/>
      <c r="J19" s="155"/>
    </row>
    <row r="20" spans="1:10" ht="14.25" customHeight="1" x14ac:dyDescent="0.15">
      <c r="A20" s="156"/>
      <c r="B20" s="157" t="s">
        <v>296</v>
      </c>
      <c r="C20" s="158"/>
      <c r="D20" s="159"/>
      <c r="E20" s="130"/>
      <c r="F20" s="160"/>
      <c r="G20" s="130">
        <f>ROUND(SUM(G6:G19),0)</f>
        <v>0</v>
      </c>
      <c r="H20" s="129"/>
      <c r="I20" s="129"/>
      <c r="J20" s="161"/>
    </row>
    <row r="21" spans="1:10" ht="30" customHeight="1" x14ac:dyDescent="0.15">
      <c r="A21" s="291" t="s">
        <v>297</v>
      </c>
      <c r="B21" s="292"/>
      <c r="C21" s="292"/>
      <c r="D21" s="290"/>
      <c r="E21" s="290"/>
      <c r="F21" s="290"/>
      <c r="G21" s="290"/>
      <c r="H21" s="290"/>
      <c r="I21" s="290"/>
      <c r="J21" s="293"/>
    </row>
  </sheetData>
  <mergeCells count="11">
    <mergeCell ref="A21:J21"/>
    <mergeCell ref="A1:J1"/>
    <mergeCell ref="A2:J2"/>
    <mergeCell ref="A4:A5"/>
    <mergeCell ref="B4:B5"/>
    <mergeCell ref="C4:C5"/>
    <mergeCell ref="D4:D5"/>
    <mergeCell ref="E4:E5"/>
    <mergeCell ref="F4:F5"/>
    <mergeCell ref="G4:G5"/>
    <mergeCell ref="J4:J5"/>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6"/>
  <sheetViews>
    <sheetView workbookViewId="0"/>
  </sheetViews>
  <sheetFormatPr defaultColWidth="10" defaultRowHeight="15" customHeight="1" x14ac:dyDescent="0.15"/>
  <cols>
    <col min="1" max="1" width="8.33203125" style="46" customWidth="1"/>
    <col min="2" max="2" width="15" style="46" customWidth="1"/>
    <col min="3" max="3" width="18.33203125" style="46" customWidth="1"/>
    <col min="4" max="5" width="18.33203125" style="46" hidden="1" customWidth="1"/>
    <col min="6" max="7" width="13.33203125" style="46" customWidth="1"/>
    <col min="8" max="8" width="18.33203125" style="46" customWidth="1"/>
    <col min="9" max="9" width="20" style="46" customWidth="1"/>
    <col min="10" max="11" width="10" style="46" customWidth="1"/>
    <col min="12" max="16384" width="10" style="46"/>
  </cols>
  <sheetData>
    <row r="1" spans="1:9" ht="73.5" customHeight="1" x14ac:dyDescent="0.15">
      <c r="A1"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1" s="260"/>
      <c r="C1" s="260"/>
      <c r="D1" s="260"/>
      <c r="E1" s="260"/>
      <c r="F1" s="260"/>
      <c r="G1" s="260"/>
      <c r="H1" s="260"/>
      <c r="I1" s="260"/>
    </row>
    <row r="2" spans="1:9" ht="26.25" customHeight="1" x14ac:dyDescent="0.15">
      <c r="A2" s="258" t="s">
        <v>306</v>
      </c>
      <c r="B2" s="260"/>
      <c r="C2" s="260"/>
      <c r="D2" s="260"/>
      <c r="E2" s="260"/>
      <c r="F2" s="260"/>
      <c r="G2" s="260"/>
    </row>
    <row r="3" spans="1:9" ht="45" customHeight="1" x14ac:dyDescent="0.15">
      <c r="A3" s="166" t="s">
        <v>4</v>
      </c>
      <c r="B3" s="167" t="s">
        <v>307</v>
      </c>
      <c r="C3" s="167" t="s">
        <v>308</v>
      </c>
      <c r="D3" s="167"/>
      <c r="E3" s="167"/>
      <c r="F3" s="167" t="s">
        <v>309</v>
      </c>
      <c r="G3" s="167" t="s">
        <v>310</v>
      </c>
    </row>
    <row r="4" spans="1:9" ht="15" customHeight="1" x14ac:dyDescent="0.15">
      <c r="A4" s="23">
        <v>1</v>
      </c>
      <c r="B4" s="28" t="s">
        <v>311</v>
      </c>
      <c r="C4" s="168">
        <v>1.05</v>
      </c>
      <c r="D4" s="25"/>
      <c r="E4" s="25"/>
      <c r="F4" s="58">
        <f>IF(C4&lt;&gt;0,ROUND(C5/C4,5),0)</f>
        <v>1</v>
      </c>
      <c r="G4" s="305">
        <f>ROUND(SUM(F4:F8)/A8,5)</f>
        <v>1.00952</v>
      </c>
    </row>
    <row r="5" spans="1:9" ht="15" customHeight="1" x14ac:dyDescent="0.15">
      <c r="A5" s="23">
        <v>2</v>
      </c>
      <c r="B5" s="28" t="s">
        <v>312</v>
      </c>
      <c r="C5" s="168">
        <v>1.05</v>
      </c>
      <c r="D5" s="25"/>
      <c r="E5" s="25"/>
      <c r="F5" s="58">
        <f>IF(C5&lt;&gt;0,ROUND(C6/C5,5),0)</f>
        <v>1</v>
      </c>
      <c r="G5" s="306"/>
    </row>
    <row r="6" spans="1:9" ht="15" customHeight="1" x14ac:dyDescent="0.15">
      <c r="A6" s="23">
        <v>3</v>
      </c>
      <c r="B6" s="28" t="s">
        <v>313</v>
      </c>
      <c r="C6" s="168">
        <v>1.05</v>
      </c>
      <c r="D6" s="25"/>
      <c r="E6" s="25"/>
      <c r="F6" s="58">
        <f>IF(C6&lt;&gt;0,ROUND(C7/C6,5),0)</f>
        <v>1</v>
      </c>
      <c r="G6" s="306"/>
    </row>
    <row r="7" spans="1:9" ht="15" customHeight="1" x14ac:dyDescent="0.15">
      <c r="A7" s="23">
        <v>4</v>
      </c>
      <c r="B7" s="28" t="s">
        <v>314</v>
      </c>
      <c r="C7" s="168">
        <v>1.05</v>
      </c>
      <c r="D7" s="25"/>
      <c r="E7" s="25"/>
      <c r="F7" s="58">
        <f>IF(C7&lt;&gt;0,ROUND(C8/C7,5),0)</f>
        <v>1.04762</v>
      </c>
      <c r="G7" s="306"/>
    </row>
    <row r="8" spans="1:9" ht="15" customHeight="1" x14ac:dyDescent="0.15">
      <c r="A8" s="35">
        <v>5</v>
      </c>
      <c r="B8" s="62" t="s">
        <v>315</v>
      </c>
      <c r="C8" s="169">
        <v>1.1000000000000001</v>
      </c>
      <c r="D8" s="37"/>
      <c r="E8" s="37"/>
      <c r="F8" s="63">
        <v>1</v>
      </c>
      <c r="G8" s="307"/>
    </row>
    <row r="9" spans="1:9" ht="15" customHeight="1" x14ac:dyDescent="0.15">
      <c r="A9" s="260"/>
      <c r="B9" s="260"/>
      <c r="C9" s="260"/>
      <c r="D9" s="260"/>
      <c r="E9" s="260"/>
      <c r="F9" s="260"/>
      <c r="G9" s="260"/>
      <c r="H9" s="260"/>
      <c r="I9" s="260"/>
    </row>
    <row r="10" spans="1:9" ht="26.25" customHeight="1" x14ac:dyDescent="0.15">
      <c r="A10" s="258" t="s">
        <v>316</v>
      </c>
      <c r="B10" s="260"/>
      <c r="C10" s="260"/>
      <c r="D10" s="260"/>
      <c r="E10" s="260"/>
      <c r="F10" s="260"/>
      <c r="G10" s="260"/>
      <c r="H10" s="260"/>
      <c r="I10" s="260"/>
    </row>
    <row r="11" spans="1:9" ht="67.5" customHeight="1" x14ac:dyDescent="0.15">
      <c r="A11" s="300" t="s">
        <v>4</v>
      </c>
      <c r="B11" s="302" t="s">
        <v>317</v>
      </c>
      <c r="C11" s="167" t="s">
        <v>318</v>
      </c>
      <c r="D11" s="167" t="s">
        <v>319</v>
      </c>
      <c r="E11" s="167" t="s">
        <v>320</v>
      </c>
      <c r="F11" s="302" t="s">
        <v>310</v>
      </c>
      <c r="G11" s="302" t="s">
        <v>321</v>
      </c>
      <c r="H11" s="167" t="s">
        <v>322</v>
      </c>
      <c r="I11" s="167" t="s">
        <v>323</v>
      </c>
    </row>
    <row r="12" spans="1:9" ht="15" customHeight="1" x14ac:dyDescent="0.15">
      <c r="A12" s="301"/>
      <c r="B12" s="303"/>
      <c r="C12" s="170" t="str">
        <f>'Công trình'!AM1</f>
        <v>(đ)</v>
      </c>
      <c r="D12" s="170" t="str">
        <f>'Công trình'!AM1</f>
        <v>(đ)</v>
      </c>
      <c r="E12" s="170" t="str">
        <f>'Công trình'!AM1</f>
        <v>(đ)</v>
      </c>
      <c r="F12" s="303"/>
      <c r="G12" s="303"/>
      <c r="H12" s="170" t="str">
        <f>'Công trình'!AM1</f>
        <v>(đ)</v>
      </c>
      <c r="I12" s="170" t="str">
        <f>'Công trình'!AM1</f>
        <v>(đ)</v>
      </c>
    </row>
    <row r="13" spans="1:9" ht="15" customHeight="1" x14ac:dyDescent="0.15">
      <c r="A13" s="23">
        <v>1</v>
      </c>
      <c r="B13" s="28" t="s">
        <v>324</v>
      </c>
      <c r="C13" s="82">
        <v>733836396</v>
      </c>
      <c r="D13" s="82">
        <v>0</v>
      </c>
      <c r="E13" s="82">
        <f>C13-D13</f>
        <v>733836396</v>
      </c>
      <c r="F13" s="104">
        <f>G4</f>
        <v>1.00952</v>
      </c>
      <c r="G13" s="104">
        <v>0.05</v>
      </c>
      <c r="H13" s="82">
        <f>C13*((F13+G13)^A13-1)</f>
        <v>43677942.28992001</v>
      </c>
      <c r="I13" s="82">
        <f>H13</f>
        <v>43677942.28992001</v>
      </c>
    </row>
    <row r="14" spans="1:9" ht="15" customHeight="1" x14ac:dyDescent="0.15">
      <c r="A14" s="23">
        <v>2</v>
      </c>
      <c r="B14" s="28" t="s">
        <v>325</v>
      </c>
      <c r="C14" s="82">
        <v>733836396</v>
      </c>
      <c r="D14" s="82">
        <v>0</v>
      </c>
      <c r="E14" s="82">
        <f>C14-D14</f>
        <v>733836396</v>
      </c>
      <c r="F14" s="104">
        <f>G4</f>
        <v>1.00952</v>
      </c>
      <c r="G14" s="104">
        <v>0.05</v>
      </c>
      <c r="H14" s="82">
        <f>C14*((F14+G14)^A14-1)</f>
        <v>89955595.704935998</v>
      </c>
      <c r="I14" s="82">
        <f>H14+I13</f>
        <v>133633537.994856</v>
      </c>
    </row>
    <row r="15" spans="1:9" ht="15" customHeight="1" x14ac:dyDescent="0.15">
      <c r="A15" s="23">
        <v>3</v>
      </c>
      <c r="B15" s="28" t="s">
        <v>326</v>
      </c>
      <c r="C15" s="82">
        <f>'TH kinh phí'!K89-SUM(C13:C14)</f>
        <v>771571508.3199172</v>
      </c>
      <c r="D15" s="82">
        <v>0</v>
      </c>
      <c r="E15" s="82">
        <f>C15-D15</f>
        <v>771571508.3199172</v>
      </c>
      <c r="F15" s="104">
        <f>G4</f>
        <v>1.00952</v>
      </c>
      <c r="G15" s="104">
        <v>0.05</v>
      </c>
      <c r="H15" s="82">
        <f>C15*((F15+G15)^A15-1)</f>
        <v>146134678.10143027</v>
      </c>
      <c r="I15" s="82">
        <f>H15+I14</f>
        <v>279768216.0962863</v>
      </c>
    </row>
    <row r="16" spans="1:9" ht="22.5" customHeight="1" x14ac:dyDescent="0.2">
      <c r="A16" s="304" t="s">
        <v>296</v>
      </c>
      <c r="B16" s="285"/>
      <c r="C16" s="171">
        <f>SUM(C13:C15)</f>
        <v>2239244300.3199172</v>
      </c>
      <c r="D16" s="171">
        <f>SUM(D13:D15)</f>
        <v>0</v>
      </c>
      <c r="E16" s="171">
        <f>SUM(E13:E15)</f>
        <v>2239244300.3199172</v>
      </c>
      <c r="F16" s="37"/>
      <c r="G16" s="37"/>
      <c r="H16" s="299">
        <f>I15</f>
        <v>279768216.0962863</v>
      </c>
      <c r="I16" s="285"/>
    </row>
  </sheetData>
  <mergeCells count="11">
    <mergeCell ref="A1:I1"/>
    <mergeCell ref="A2:G2"/>
    <mergeCell ref="G4:G8"/>
    <mergeCell ref="A9:I9"/>
    <mergeCell ref="A10:I10"/>
    <mergeCell ref="H16:I16"/>
    <mergeCell ref="A11:A12"/>
    <mergeCell ref="B11:B12"/>
    <mergeCell ref="F11:F12"/>
    <mergeCell ref="G11:G12"/>
    <mergeCell ref="A16:B16"/>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98"/>
  <sheetViews>
    <sheetView workbookViewId="0"/>
  </sheetViews>
  <sheetFormatPr defaultColWidth="10" defaultRowHeight="15" customHeight="1" x14ac:dyDescent="0.15"/>
  <cols>
    <col min="1" max="1" width="6.6640625" style="51" customWidth="1"/>
    <col min="2" max="2" width="48.33203125" style="51" customWidth="1"/>
    <col min="3" max="3" width="20" style="211" hidden="1" customWidth="1"/>
    <col min="4" max="4" width="11.6640625" style="51" customWidth="1"/>
    <col min="5" max="5" width="6.6640625" style="51" customWidth="1"/>
    <col min="6" max="6" width="19.1640625" style="51" customWidth="1"/>
    <col min="7" max="7" width="23.33203125" style="51" customWidth="1"/>
    <col min="8" max="8" width="18.33203125" style="51" customWidth="1"/>
    <col min="9" max="9" width="23.33203125" style="51" customWidth="1"/>
    <col min="10" max="10" width="10" style="51" customWidth="1"/>
    <col min="11" max="11" width="15" style="212" customWidth="1"/>
    <col min="12" max="14" width="15" style="213" customWidth="1"/>
    <col min="15" max="15" width="83.33203125" style="51" customWidth="1"/>
    <col min="16" max="17" width="10" style="51" customWidth="1"/>
    <col min="18" max="16384" width="10" style="51"/>
  </cols>
  <sheetData>
    <row r="1" spans="1:15" ht="26.25" customHeight="1" x14ac:dyDescent="0.15">
      <c r="A1" s="258" t="s">
        <v>327</v>
      </c>
      <c r="B1" s="252"/>
      <c r="C1" s="308"/>
      <c r="D1" s="252"/>
      <c r="E1" s="252"/>
      <c r="F1" s="252"/>
      <c r="G1" s="252"/>
      <c r="H1" s="252"/>
      <c r="I1" s="252"/>
      <c r="J1" s="252"/>
    </row>
    <row r="2" spans="1:15" ht="18.75" customHeight="1" x14ac:dyDescent="0.15">
      <c r="A2" s="276" t="s">
        <v>328</v>
      </c>
      <c r="B2" s="252"/>
      <c r="C2" s="308"/>
      <c r="D2" s="252"/>
      <c r="E2" s="252"/>
      <c r="F2" s="252"/>
      <c r="G2" s="252"/>
      <c r="H2" s="252"/>
      <c r="I2" s="252"/>
      <c r="J2" s="252"/>
    </row>
    <row r="3" spans="1:15" ht="18.75" customHeight="1" x14ac:dyDescent="0.15">
      <c r="A3" s="276" t="s">
        <v>329</v>
      </c>
      <c r="B3" s="252"/>
      <c r="C3" s="308"/>
      <c r="D3" s="252"/>
      <c r="E3" s="252"/>
      <c r="F3" s="252"/>
      <c r="G3" s="252"/>
      <c r="H3" s="252"/>
      <c r="I3" s="252"/>
      <c r="J3" s="252"/>
    </row>
    <row r="4" spans="1:15" ht="18.75" customHeight="1" x14ac:dyDescent="0.15">
      <c r="A4" s="276" t="s">
        <v>330</v>
      </c>
      <c r="B4" s="252"/>
      <c r="C4" s="308"/>
      <c r="D4" s="252"/>
      <c r="E4" s="252"/>
      <c r="F4" s="252"/>
      <c r="G4" s="252"/>
      <c r="H4" s="252"/>
      <c r="I4" s="252"/>
      <c r="J4" s="252"/>
    </row>
    <row r="5" spans="1:15" ht="18.75" customHeight="1" x14ac:dyDescent="0.15">
      <c r="A5" s="276" t="s">
        <v>331</v>
      </c>
      <c r="B5" s="252"/>
      <c r="C5" s="308"/>
      <c r="D5" s="252"/>
      <c r="E5" s="252"/>
      <c r="F5" s="252"/>
      <c r="G5" s="252"/>
      <c r="H5" s="252"/>
      <c r="I5" s="252"/>
      <c r="J5" s="252"/>
    </row>
    <row r="6" spans="1:15" ht="18.75" customHeight="1" x14ac:dyDescent="0.15">
      <c r="A6" s="276" t="s">
        <v>332</v>
      </c>
      <c r="B6" s="252"/>
      <c r="C6" s="308"/>
      <c r="D6" s="252"/>
      <c r="E6" s="252"/>
      <c r="F6" s="252"/>
      <c r="G6" s="252"/>
      <c r="H6" s="252"/>
      <c r="I6" s="252"/>
      <c r="J6" s="252"/>
    </row>
    <row r="7" spans="1:15" ht="18.75" customHeight="1" x14ac:dyDescent="0.15">
      <c r="A7" s="276" t="s">
        <v>333</v>
      </c>
      <c r="B7" s="252"/>
      <c r="C7" s="308"/>
      <c r="D7" s="252"/>
      <c r="E7" s="252"/>
      <c r="F7" s="252"/>
      <c r="G7" s="252"/>
      <c r="H7" s="252"/>
      <c r="I7" s="252"/>
      <c r="J7" s="252"/>
    </row>
    <row r="8" spans="1:15" ht="18.75" customHeight="1" x14ac:dyDescent="0.15">
      <c r="A8" s="276" t="s">
        <v>334</v>
      </c>
      <c r="B8" s="252"/>
      <c r="C8" s="308"/>
      <c r="D8" s="252"/>
      <c r="E8" s="252"/>
      <c r="F8" s="252"/>
      <c r="G8" s="252"/>
      <c r="H8" s="252"/>
      <c r="I8" s="252"/>
      <c r="J8" s="252"/>
    </row>
    <row r="9" spans="1:15" ht="18.75" customHeight="1" x14ac:dyDescent="0.15">
      <c r="A9" s="276" t="s">
        <v>335</v>
      </c>
      <c r="B9" s="252"/>
      <c r="C9" s="308"/>
      <c r="D9" s="252"/>
      <c r="E9" s="252"/>
      <c r="F9" s="252"/>
      <c r="G9" s="252"/>
      <c r="H9" s="252"/>
      <c r="I9" s="252"/>
      <c r="J9" s="252"/>
    </row>
    <row r="10" spans="1:15" ht="22.5" customHeight="1" x14ac:dyDescent="0.25">
      <c r="A10" s="312" t="str">
        <f>"Đơn vị tính: "&amp;'Công trình'!AM1</f>
        <v>Đơn vị tính: (đ)</v>
      </c>
      <c r="B10" s="252"/>
      <c r="C10" s="308"/>
      <c r="D10" s="252"/>
      <c r="E10" s="252"/>
      <c r="F10" s="252"/>
      <c r="G10" s="252"/>
      <c r="H10" s="252"/>
      <c r="I10" s="252"/>
      <c r="J10" s="252"/>
      <c r="L10" s="309" t="s">
        <v>336</v>
      </c>
      <c r="M10" s="309"/>
      <c r="N10" s="309"/>
      <c r="O10" s="173"/>
    </row>
    <row r="11" spans="1:15" ht="33.75" customHeight="1" x14ac:dyDescent="0.15">
      <c r="A11" s="52" t="s">
        <v>4</v>
      </c>
      <c r="B11" s="19" t="s">
        <v>226</v>
      </c>
      <c r="C11" s="174" t="s">
        <v>64</v>
      </c>
      <c r="D11" s="19" t="s">
        <v>337</v>
      </c>
      <c r="E11" s="19" t="s">
        <v>228</v>
      </c>
      <c r="F11" s="19" t="s">
        <v>227</v>
      </c>
      <c r="G11" s="19" t="s">
        <v>290</v>
      </c>
      <c r="H11" s="19" t="s">
        <v>291</v>
      </c>
      <c r="I11" s="19" t="s">
        <v>292</v>
      </c>
      <c r="J11" s="19" t="s">
        <v>229</v>
      </c>
      <c r="K11" s="175">
        <v>0.1</v>
      </c>
      <c r="L11" s="172" t="s">
        <v>338</v>
      </c>
      <c r="M11" s="172" t="s">
        <v>339</v>
      </c>
      <c r="N11" s="172" t="s">
        <v>340</v>
      </c>
      <c r="O11" s="173" t="s">
        <v>341</v>
      </c>
    </row>
    <row r="12" spans="1:15" ht="30.75" customHeight="1" x14ac:dyDescent="0.15">
      <c r="A12" s="176" t="s">
        <v>233</v>
      </c>
      <c r="B12" s="177" t="s">
        <v>305</v>
      </c>
      <c r="C12" s="178" t="s">
        <v>342</v>
      </c>
      <c r="D12" s="179"/>
      <c r="E12" s="180"/>
      <c r="F12" s="181" t="str">
        <f>""</f>
        <v/>
      </c>
      <c r="G12" s="182"/>
      <c r="H12" s="182">
        <f>ROUND(K11*G12,0)</f>
        <v>0</v>
      </c>
      <c r="I12" s="182">
        <f>G12+H12</f>
        <v>0</v>
      </c>
      <c r="J12" s="181" t="s">
        <v>343</v>
      </c>
      <c r="K12" s="183">
        <v>1</v>
      </c>
      <c r="O12" s="51" t="s">
        <v>344</v>
      </c>
    </row>
    <row r="13" spans="1:15" ht="16.5" customHeight="1" x14ac:dyDescent="0.15">
      <c r="A13" s="184">
        <v>2</v>
      </c>
      <c r="B13" s="177" t="s">
        <v>345</v>
      </c>
      <c r="C13" s="178" t="s">
        <v>294</v>
      </c>
      <c r="D13" s="179"/>
      <c r="E13" s="180"/>
      <c r="F13" s="181" t="str">
        <f>""</f>
        <v/>
      </c>
      <c r="G13" s="182">
        <f>G14+G15</f>
        <v>0</v>
      </c>
      <c r="H13" s="182">
        <f>H14+H15</f>
        <v>0</v>
      </c>
      <c r="I13" s="182">
        <f>I14+I15</f>
        <v>0</v>
      </c>
      <c r="J13" s="181" t="s">
        <v>346</v>
      </c>
      <c r="K13" s="183">
        <v>1</v>
      </c>
    </row>
    <row r="14" spans="1:15" ht="30.75" customHeight="1" x14ac:dyDescent="0.15">
      <c r="A14" s="185" t="s">
        <v>347</v>
      </c>
      <c r="B14" s="186" t="s">
        <v>348</v>
      </c>
      <c r="C14" s="187" t="s">
        <v>349</v>
      </c>
      <c r="D14" s="188"/>
      <c r="E14" s="189"/>
      <c r="F14" s="190" t="str">
        <f>""</f>
        <v/>
      </c>
      <c r="G14" s="191">
        <f>'TH chi phí XD'!C12</f>
        <v>0</v>
      </c>
      <c r="H14" s="191">
        <f>'TH chi phí XD'!D12</f>
        <v>0</v>
      </c>
      <c r="I14" s="191">
        <f>G14+H14</f>
        <v>0</v>
      </c>
      <c r="J14" s="190" t="s">
        <v>294</v>
      </c>
      <c r="K14" s="192">
        <f>G14+G73</f>
        <v>0</v>
      </c>
      <c r="O14" s="51" t="s">
        <v>350</v>
      </c>
    </row>
    <row r="15" spans="1:15" ht="30.75" hidden="1" customHeight="1" x14ac:dyDescent="0.15">
      <c r="A15" s="185"/>
      <c r="B15" s="186" t="s">
        <v>351</v>
      </c>
      <c r="C15" s="187" t="s">
        <v>352</v>
      </c>
      <c r="D15" s="188"/>
      <c r="E15" s="189"/>
      <c r="F15" s="190" t="str">
        <f>""</f>
        <v/>
      </c>
      <c r="G15" s="191"/>
      <c r="H15" s="191"/>
      <c r="I15" s="191"/>
      <c r="J15" s="190" t="s">
        <v>353</v>
      </c>
      <c r="K15" s="183">
        <v>1</v>
      </c>
    </row>
    <row r="16" spans="1:15" ht="30" customHeight="1" x14ac:dyDescent="0.15">
      <c r="A16" s="184">
        <v>3</v>
      </c>
      <c r="B16" s="177" t="s">
        <v>354</v>
      </c>
      <c r="C16" s="178" t="s">
        <v>355</v>
      </c>
      <c r="D16" s="179"/>
      <c r="E16" s="180"/>
      <c r="F16" s="181" t="str">
        <f>""</f>
        <v/>
      </c>
      <c r="G16" s="182">
        <f>G18+G19</f>
        <v>0</v>
      </c>
      <c r="H16" s="182">
        <f>H18+H19</f>
        <v>0</v>
      </c>
      <c r="I16" s="182">
        <f>G16+H16</f>
        <v>0</v>
      </c>
      <c r="J16" s="181" t="s">
        <v>355</v>
      </c>
      <c r="K16" s="183">
        <v>1</v>
      </c>
      <c r="L16" s="193">
        <f>G16</f>
        <v>0</v>
      </c>
      <c r="M16" s="193">
        <f>G16</f>
        <v>0</v>
      </c>
      <c r="N16" s="193">
        <f>G16</f>
        <v>0</v>
      </c>
      <c r="O16" s="51" t="s">
        <v>356</v>
      </c>
    </row>
    <row r="17" spans="1:15" ht="16.5" hidden="1" customHeight="1" x14ac:dyDescent="0.15">
      <c r="A17" s="176"/>
      <c r="B17" s="177" t="s">
        <v>357</v>
      </c>
      <c r="C17" s="178" t="s">
        <v>358</v>
      </c>
      <c r="D17" s="179"/>
      <c r="E17" s="180"/>
      <c r="F17" s="181" t="str">
        <f>""</f>
        <v/>
      </c>
      <c r="G17" s="182"/>
      <c r="H17" s="182"/>
      <c r="I17" s="182"/>
      <c r="J17" s="181"/>
      <c r="K17" s="183">
        <v>1</v>
      </c>
    </row>
    <row r="18" spans="1:15" ht="16.5" hidden="1" customHeight="1" x14ac:dyDescent="0.15">
      <c r="A18" s="185"/>
      <c r="B18" s="186" t="s">
        <v>359</v>
      </c>
      <c r="C18" s="187" t="s">
        <v>360</v>
      </c>
      <c r="D18" s="188"/>
      <c r="E18" s="189"/>
      <c r="F18" s="190" t="str">
        <f>""</f>
        <v/>
      </c>
      <c r="G18" s="191">
        <f>'TH chi phí TB'!F20</f>
        <v>0</v>
      </c>
      <c r="H18" s="191">
        <f>'TH chi phí TB'!H20</f>
        <v>0</v>
      </c>
      <c r="I18" s="191">
        <f>G18+H18</f>
        <v>0</v>
      </c>
      <c r="J18" s="190"/>
      <c r="K18" s="183">
        <v>1</v>
      </c>
    </row>
    <row r="19" spans="1:15" ht="30.75" hidden="1" customHeight="1" x14ac:dyDescent="0.15">
      <c r="A19" s="185"/>
      <c r="B19" s="186" t="s">
        <v>361</v>
      </c>
      <c r="C19" s="187" t="s">
        <v>362</v>
      </c>
      <c r="D19" s="188"/>
      <c r="E19" s="189"/>
      <c r="F19" s="190" t="str">
        <f>""</f>
        <v/>
      </c>
      <c r="G19" s="191"/>
      <c r="H19" s="191"/>
      <c r="I19" s="191">
        <f>G19+H19</f>
        <v>0</v>
      </c>
      <c r="J19" s="190"/>
      <c r="K19" s="183">
        <v>1</v>
      </c>
    </row>
    <row r="20" spans="1:15" ht="30.75" hidden="1" customHeight="1" x14ac:dyDescent="0.15">
      <c r="A20" s="176"/>
      <c r="B20" s="177" t="s">
        <v>363</v>
      </c>
      <c r="C20" s="178" t="s">
        <v>364</v>
      </c>
      <c r="D20" s="179"/>
      <c r="E20" s="180"/>
      <c r="F20" s="181" t="str">
        <f>""</f>
        <v/>
      </c>
      <c r="G20" s="182"/>
      <c r="H20" s="182"/>
      <c r="I20" s="182"/>
      <c r="J20" s="181"/>
      <c r="K20" s="183">
        <v>1</v>
      </c>
    </row>
    <row r="21" spans="1:15" ht="30.75" hidden="1" customHeight="1" x14ac:dyDescent="0.15">
      <c r="A21" s="176"/>
      <c r="B21" s="177" t="s">
        <v>365</v>
      </c>
      <c r="C21" s="178" t="s">
        <v>366</v>
      </c>
      <c r="D21" s="179"/>
      <c r="E21" s="180"/>
      <c r="F21" s="181" t="str">
        <f>""</f>
        <v/>
      </c>
      <c r="G21" s="182"/>
      <c r="H21" s="182"/>
      <c r="I21" s="182"/>
      <c r="J21" s="181" t="s">
        <v>367</v>
      </c>
      <c r="K21" s="183">
        <v>1</v>
      </c>
    </row>
    <row r="22" spans="1:15" ht="30.75" customHeight="1" x14ac:dyDescent="0.15">
      <c r="A22" s="184">
        <v>4</v>
      </c>
      <c r="B22" s="177" t="s">
        <v>368</v>
      </c>
      <c r="C22" s="178" t="s">
        <v>369</v>
      </c>
      <c r="D22" s="179">
        <f>'Định mức tư vấn'!F3</f>
        <v>3.4459999999999998E-2</v>
      </c>
      <c r="E22" s="180"/>
      <c r="F22" s="181" t="str">
        <f>D22*100&amp;"% x "&amp;"("&amp;J14&amp;"+"&amp;J16&amp;")"</f>
        <v>3,446% x (Gxd+Gtb)</v>
      </c>
      <c r="G22" s="182">
        <f>ROUND(D22*(G14+G16),0)</f>
        <v>0</v>
      </c>
      <c r="H22" s="182">
        <f>ROUND(K11*G22,0)</f>
        <v>0</v>
      </c>
      <c r="I22" s="182">
        <f>G22+H22</f>
        <v>0</v>
      </c>
      <c r="J22" s="181" t="s">
        <v>369</v>
      </c>
      <c r="K22" s="183">
        <v>1</v>
      </c>
      <c r="O22" s="51" t="s">
        <v>370</v>
      </c>
    </row>
    <row r="23" spans="1:15" ht="57.75" customHeight="1" x14ac:dyDescent="0.15">
      <c r="A23" s="184">
        <v>4</v>
      </c>
      <c r="B23" s="177" t="s">
        <v>371</v>
      </c>
      <c r="C23" s="178" t="s">
        <v>372</v>
      </c>
      <c r="D23" s="179">
        <f>'Định mức tư vấn'!F4</f>
        <v>1.1129999999999999E-2</v>
      </c>
      <c r="E23" s="180"/>
      <c r="F23" s="181" t="str">
        <f>D23*100&amp;"% x "&amp;"("&amp;J14&amp;"+"&amp;J16&amp;")"</f>
        <v>1,113% x (Gxd+Gtb)</v>
      </c>
      <c r="G23" s="182">
        <f>ROUND(D23*(G14+G16),0)</f>
        <v>0</v>
      </c>
      <c r="H23" s="182">
        <f>ROUND(K11*G23,0)</f>
        <v>0</v>
      </c>
      <c r="I23" s="182">
        <f>G23+H23</f>
        <v>0</v>
      </c>
      <c r="J23" s="181" t="s">
        <v>369</v>
      </c>
      <c r="K23" s="183">
        <v>1</v>
      </c>
      <c r="O23" s="51" t="s">
        <v>370</v>
      </c>
    </row>
    <row r="24" spans="1:15" ht="16.5" customHeight="1" x14ac:dyDescent="0.15">
      <c r="A24" s="184">
        <v>5</v>
      </c>
      <c r="B24" s="177" t="s">
        <v>373</v>
      </c>
      <c r="C24" s="178" t="s">
        <v>374</v>
      </c>
      <c r="D24" s="179"/>
      <c r="E24" s="180"/>
      <c r="F24" s="181" t="str">
        <f>""</f>
        <v/>
      </c>
      <c r="G24" s="182">
        <f>SUMIF(K25:K70,1,G25:G70)</f>
        <v>1977640305.7245703</v>
      </c>
      <c r="H24" s="182">
        <f>SUMIF(K25:K70,1,H25:H70)</f>
        <v>197764030.27272743</v>
      </c>
      <c r="I24" s="182">
        <f>SUMIF(K25:K70,1,I25:I70)</f>
        <v>2175404335.9972978</v>
      </c>
      <c r="J24" s="181" t="s">
        <v>374</v>
      </c>
      <c r="K24" s="183">
        <v>1</v>
      </c>
    </row>
    <row r="25" spans="1:15" ht="22.5" customHeight="1" x14ac:dyDescent="0.15">
      <c r="A25" s="185" t="s">
        <v>375</v>
      </c>
      <c r="B25" s="186" t="s">
        <v>376</v>
      </c>
      <c r="C25" s="187" t="s">
        <v>277</v>
      </c>
      <c r="D25" s="188"/>
      <c r="E25" s="189"/>
      <c r="F25" s="190" t="str">
        <f>""</f>
        <v/>
      </c>
      <c r="G25" s="191">
        <f>SUM(G26:G27)</f>
        <v>1807904662.7272725</v>
      </c>
      <c r="H25" s="191">
        <f>SUM(H26:H27)</f>
        <v>180790466.27272743</v>
      </c>
      <c r="I25" s="191">
        <f>SUM(I26:I27)</f>
        <v>1988695129</v>
      </c>
      <c r="J25" s="190" t="s">
        <v>377</v>
      </c>
      <c r="K25" s="183">
        <v>1</v>
      </c>
      <c r="O25" s="51" t="s">
        <v>378</v>
      </c>
    </row>
    <row r="26" spans="1:15" ht="26.25" customHeight="1" x14ac:dyDescent="0.15">
      <c r="A26" s="194"/>
      <c r="B26" s="195" t="str">
        <f>"+ "&amp;'Công trình'!F6</f>
        <v>+ THÍ NGHIỆM SIÊU ÂM KIỂM TRA CHẤT LƯỢNG CỌC KHOAN ĐẠI TRÀ</v>
      </c>
      <c r="C26" s="196"/>
      <c r="D26" s="197"/>
      <c r="E26" s="198"/>
      <c r="F26" s="199"/>
      <c r="G26" s="82">
        <f>I26/(1+HSXL!D17)</f>
        <v>1557936603.6363635</v>
      </c>
      <c r="H26" s="82">
        <f>I26-G26</f>
        <v>155793660.36363649</v>
      </c>
      <c r="I26" s="82">
        <f>'THKP hạng mục'!H26</f>
        <v>1713730264</v>
      </c>
      <c r="J26" s="200"/>
    </row>
    <row r="27" spans="1:15" ht="26.25" customHeight="1" x14ac:dyDescent="0.15">
      <c r="A27" s="194"/>
      <c r="B27" s="195" t="str">
        <f>"+ "&amp;'Công trình'!F11</f>
        <v>+ KHOAN KIỂM TRA XỬ LÝ ĐÁY CỌC KHOAN NHỒI ĐẠI TRÀ</v>
      </c>
      <c r="C27" s="196"/>
      <c r="D27" s="197"/>
      <c r="E27" s="198"/>
      <c r="F27" s="199"/>
      <c r="G27" s="82">
        <f>I27/(1+HSXL!D36)</f>
        <v>249968059.09090906</v>
      </c>
      <c r="H27" s="82">
        <f>I27-G27</f>
        <v>24996805.909090936</v>
      </c>
      <c r="I27" s="82">
        <f>'THKP hạng mục'!H54</f>
        <v>274964865</v>
      </c>
      <c r="J27" s="200"/>
    </row>
    <row r="28" spans="1:15" ht="16.5" customHeight="1" x14ac:dyDescent="0.15">
      <c r="A28" s="185" t="s">
        <v>379</v>
      </c>
      <c r="B28" s="186" t="s">
        <v>380</v>
      </c>
      <c r="C28" s="187" t="s">
        <v>381</v>
      </c>
      <c r="D28" s="188">
        <v>0.03</v>
      </c>
      <c r="E28" s="189"/>
      <c r="F28" s="190" t="str">
        <f>D28*100&amp;"%*"&amp;C25&amp;IF(E28&lt;&gt;0,"*"&amp;E28,"")</f>
        <v>3%*Gks</v>
      </c>
      <c r="G28" s="191">
        <f>IF(E28&lt;&gt;0,D28*E28*G25,D28*G25)</f>
        <v>54237139.881818175</v>
      </c>
      <c r="H28" s="191">
        <f>ROUND(K11*G28,0)</f>
        <v>5423714</v>
      </c>
      <c r="I28" s="191">
        <f>G28+H28</f>
        <v>59660853.881818175</v>
      </c>
      <c r="J28" s="190" t="s">
        <v>382</v>
      </c>
      <c r="K28" s="183">
        <v>1</v>
      </c>
    </row>
    <row r="29" spans="1:15" ht="30.75" customHeight="1" x14ac:dyDescent="0.15">
      <c r="A29" s="185" t="s">
        <v>383</v>
      </c>
      <c r="B29" s="186" t="s">
        <v>384</v>
      </c>
      <c r="C29" s="187" t="s">
        <v>385</v>
      </c>
      <c r="D29" s="188">
        <f>'Định mức tư vấn'!F27</f>
        <v>3.9647500000000002E-2</v>
      </c>
      <c r="E29" s="189"/>
      <c r="F29" s="190" t="str">
        <f>D29*100&amp;"%*"&amp;C25&amp;IF(E29&lt;&gt;0,"*"&amp;E29,"")</f>
        <v>3,96475%*Gks</v>
      </c>
      <c r="G29" s="191">
        <f>IF(E29&lt;&gt;0,D29*E29*G25,D29*G25)</f>
        <v>71678900.115479544</v>
      </c>
      <c r="H29" s="191">
        <f>ROUND(K11*G29,0)</f>
        <v>7167890</v>
      </c>
      <c r="I29" s="191">
        <f>G29+H29</f>
        <v>78846790.115479544</v>
      </c>
      <c r="J29" s="190" t="s">
        <v>386</v>
      </c>
      <c r="K29" s="183">
        <v>1</v>
      </c>
      <c r="O29" s="51" t="s">
        <v>370</v>
      </c>
    </row>
    <row r="30" spans="1:15" ht="16.5" hidden="1" customHeight="1" x14ac:dyDescent="0.15">
      <c r="A30" s="185"/>
      <c r="B30" s="186" t="s">
        <v>387</v>
      </c>
      <c r="C30" s="187" t="s">
        <v>388</v>
      </c>
      <c r="D30" s="188">
        <v>0</v>
      </c>
      <c r="E30" s="189"/>
      <c r="F30" s="190" t="str">
        <f>""</f>
        <v/>
      </c>
      <c r="G30" s="191"/>
      <c r="H30" s="191">
        <f>ROUND(K11*G30,0)</f>
        <v>0</v>
      </c>
      <c r="I30" s="191"/>
      <c r="J30" s="190" t="s">
        <v>389</v>
      </c>
      <c r="K30" s="183">
        <v>1</v>
      </c>
      <c r="O30" s="51" t="s">
        <v>370</v>
      </c>
    </row>
    <row r="31" spans="1:15" ht="30.75" hidden="1" customHeight="1" x14ac:dyDescent="0.15">
      <c r="A31" s="185"/>
      <c r="B31" s="186" t="s">
        <v>390</v>
      </c>
      <c r="C31" s="187" t="s">
        <v>391</v>
      </c>
      <c r="D31" s="188">
        <v>0</v>
      </c>
      <c r="E31" s="189"/>
      <c r="F31" s="190" t="str">
        <f>""</f>
        <v/>
      </c>
      <c r="G31" s="191"/>
      <c r="H31" s="191">
        <f>ROUND(K11*G31,0)</f>
        <v>0</v>
      </c>
      <c r="I31" s="191"/>
      <c r="J31" s="190" t="s">
        <v>392</v>
      </c>
      <c r="K31" s="183">
        <v>1</v>
      </c>
      <c r="O31" s="51" t="s">
        <v>370</v>
      </c>
    </row>
    <row r="32" spans="1:15" ht="30.75" customHeight="1" x14ac:dyDescent="0.15">
      <c r="A32" s="185" t="s">
        <v>393</v>
      </c>
      <c r="B32" s="186" t="s">
        <v>394</v>
      </c>
      <c r="C32" s="187" t="s">
        <v>395</v>
      </c>
      <c r="D32" s="188"/>
      <c r="E32" s="189"/>
      <c r="F32" s="190" t="str">
        <f>""</f>
        <v/>
      </c>
      <c r="G32" s="191"/>
      <c r="H32" s="191">
        <f>ROUND(K11*G32,0)</f>
        <v>0</v>
      </c>
      <c r="I32" s="191">
        <f t="shared" ref="I32:I70" si="0">G32+H32</f>
        <v>0</v>
      </c>
      <c r="J32" s="190" t="s">
        <v>389</v>
      </c>
      <c r="K32" s="183">
        <v>1</v>
      </c>
    </row>
    <row r="33" spans="1:15" ht="44.25" customHeight="1" x14ac:dyDescent="0.15">
      <c r="A33" s="185" t="s">
        <v>396</v>
      </c>
      <c r="B33" s="186" t="s">
        <v>397</v>
      </c>
      <c r="C33" s="187" t="s">
        <v>398</v>
      </c>
      <c r="D33" s="188"/>
      <c r="E33" s="189"/>
      <c r="F33" s="190" t="str">
        <f>""</f>
        <v/>
      </c>
      <c r="G33" s="191">
        <f>'Định mức tư vấn'!F26</f>
        <v>8000000</v>
      </c>
      <c r="H33" s="191">
        <f>ROUND(K11*G33,0)</f>
        <v>800000</v>
      </c>
      <c r="I33" s="191">
        <f t="shared" si="0"/>
        <v>8800000</v>
      </c>
      <c r="J33" s="190" t="s">
        <v>392</v>
      </c>
      <c r="K33" s="183">
        <v>1</v>
      </c>
      <c r="O33" s="51" t="s">
        <v>399</v>
      </c>
    </row>
    <row r="34" spans="1:15" ht="30.75" customHeight="1" x14ac:dyDescent="0.15">
      <c r="A34" s="185" t="s">
        <v>400</v>
      </c>
      <c r="B34" s="186" t="s">
        <v>401</v>
      </c>
      <c r="C34" s="187" t="s">
        <v>402</v>
      </c>
      <c r="D34" s="188">
        <f>'Định mức tư vấn'!F5</f>
        <v>3.0100000000000001E-3</v>
      </c>
      <c r="E34" s="189"/>
      <c r="F34" s="190" t="str">
        <f>D34*100&amp;"% x "&amp;"("&amp;J14&amp;"+"&amp;J16&amp;")"</f>
        <v>0,301% x (Gxd+Gtb)</v>
      </c>
      <c r="G34" s="191">
        <f>ROUND(D34*(L14+L16),0)</f>
        <v>0</v>
      </c>
      <c r="H34" s="191">
        <f>ROUND(K11*G34,0)</f>
        <v>0</v>
      </c>
      <c r="I34" s="191">
        <f t="shared" si="0"/>
        <v>0</v>
      </c>
      <c r="J34" s="190" t="s">
        <v>403</v>
      </c>
      <c r="K34" s="183">
        <v>1</v>
      </c>
      <c r="O34" s="51" t="s">
        <v>370</v>
      </c>
    </row>
    <row r="35" spans="1:15" ht="30.75" customHeight="1" x14ac:dyDescent="0.15">
      <c r="A35" s="185" t="s">
        <v>404</v>
      </c>
      <c r="B35" s="186" t="s">
        <v>405</v>
      </c>
      <c r="C35" s="187" t="s">
        <v>406</v>
      </c>
      <c r="D35" s="188">
        <f>'Định mức tư vấn'!F6</f>
        <v>6.6800000000000002E-3</v>
      </c>
      <c r="E35" s="189"/>
      <c r="F35" s="190" t="str">
        <f>D35*100&amp;"% x "&amp;"("&amp;J14&amp;"+"&amp;J16&amp;")"</f>
        <v>0,668% x (Gxd+Gtb)</v>
      </c>
      <c r="G35" s="191">
        <f>ROUND(D35*(L14+L16),0)</f>
        <v>0</v>
      </c>
      <c r="H35" s="191">
        <f>ROUND(K11*G35,0)</f>
        <v>0</v>
      </c>
      <c r="I35" s="191">
        <f t="shared" si="0"/>
        <v>0</v>
      </c>
      <c r="J35" s="190" t="s">
        <v>407</v>
      </c>
      <c r="K35" s="183">
        <v>1</v>
      </c>
      <c r="O35" s="51" t="s">
        <v>370</v>
      </c>
    </row>
    <row r="36" spans="1:15" ht="30.75" customHeight="1" x14ac:dyDescent="0.15">
      <c r="A36" s="185" t="s">
        <v>408</v>
      </c>
      <c r="B36" s="186" t="s">
        <v>409</v>
      </c>
      <c r="C36" s="187" t="s">
        <v>410</v>
      </c>
      <c r="D36" s="188">
        <f>'Định mức tư vấn'!F7</f>
        <v>1.1140000000000001E-2</v>
      </c>
      <c r="E36" s="189"/>
      <c r="F36" s="190" t="str">
        <f>D36*100&amp;"% x "&amp;"("&amp;J14&amp;"+"&amp;J16&amp;")"</f>
        <v>1,114% x (Gxd+Gtb)</v>
      </c>
      <c r="G36" s="191">
        <f>ROUND(D36*(M14+M16),0)</f>
        <v>0</v>
      </c>
      <c r="H36" s="191">
        <f>ROUND(K11*G36,0)</f>
        <v>0</v>
      </c>
      <c r="I36" s="191">
        <f t="shared" si="0"/>
        <v>0</v>
      </c>
      <c r="J36" s="190" t="s">
        <v>411</v>
      </c>
      <c r="K36" s="183">
        <v>1</v>
      </c>
      <c r="O36" s="51" t="s">
        <v>370</v>
      </c>
    </row>
    <row r="37" spans="1:15" ht="30.75" customHeight="1" x14ac:dyDescent="0.15">
      <c r="A37" s="185" t="s">
        <v>412</v>
      </c>
      <c r="B37" s="186" t="s">
        <v>413</v>
      </c>
      <c r="C37" s="187" t="s">
        <v>414</v>
      </c>
      <c r="D37" s="188">
        <f>'Định mức tư vấn'!F11</f>
        <v>6.5000000000000002E-2</v>
      </c>
      <c r="E37" s="189"/>
      <c r="F37" s="190" t="str">
        <f>D37*100&amp;"% x "&amp;"("&amp;J14&amp;"+"&amp;J16&amp;")"</f>
        <v>6,5% x (Gxd+Gtb)</v>
      </c>
      <c r="G37" s="191">
        <f>ROUND(D37*(L14+L16),0)</f>
        <v>0</v>
      </c>
      <c r="H37" s="191">
        <f>ROUND(K11*G37,0)</f>
        <v>0</v>
      </c>
      <c r="I37" s="191">
        <f t="shared" si="0"/>
        <v>0</v>
      </c>
      <c r="J37" s="190" t="s">
        <v>415</v>
      </c>
      <c r="K37" s="183">
        <v>1</v>
      </c>
      <c r="O37" s="51" t="s">
        <v>370</v>
      </c>
    </row>
    <row r="38" spans="1:15" ht="30.75" customHeight="1" x14ac:dyDescent="0.15">
      <c r="A38" s="185" t="s">
        <v>416</v>
      </c>
      <c r="B38" s="186" t="s">
        <v>417</v>
      </c>
      <c r="C38" s="187" t="s">
        <v>418</v>
      </c>
      <c r="D38" s="188">
        <f>'Định mức tư vấn'!F8</f>
        <v>7.1000000000000002E-4</v>
      </c>
      <c r="E38" s="189"/>
      <c r="F38" s="190" t="str">
        <f>D38*100&amp;"% x "&amp;"("&amp;J14&amp;"+"&amp;J16&amp;")"</f>
        <v>0,071% x (Gxd+Gtb)</v>
      </c>
      <c r="G38" s="191">
        <f>ROUND(D38*(L14+L16),0)</f>
        <v>0</v>
      </c>
      <c r="H38" s="191">
        <f>ROUND(K11*G38,0)</f>
        <v>0</v>
      </c>
      <c r="I38" s="191">
        <f t="shared" si="0"/>
        <v>0</v>
      </c>
      <c r="J38" s="190" t="s">
        <v>419</v>
      </c>
      <c r="K38" s="183">
        <v>1</v>
      </c>
      <c r="O38" s="51" t="s">
        <v>370</v>
      </c>
    </row>
    <row r="39" spans="1:15" ht="30.75" customHeight="1" x14ac:dyDescent="0.15">
      <c r="A39" s="185" t="s">
        <v>420</v>
      </c>
      <c r="B39" s="186" t="s">
        <v>421</v>
      </c>
      <c r="C39" s="187" t="s">
        <v>422</v>
      </c>
      <c r="D39" s="188">
        <f>'Định mức tư vấn'!F9</f>
        <v>7.1000000000000002E-4</v>
      </c>
      <c r="E39" s="189"/>
      <c r="F39" s="190" t="str">
        <f>D39*100&amp;"% x "&amp;"("&amp;J14&amp;"+"&amp;J16&amp;")"</f>
        <v>0,071% x (Gxd+Gtb)</v>
      </c>
      <c r="G39" s="191">
        <f>ROUND(D39*(L14+L16),0)</f>
        <v>0</v>
      </c>
      <c r="H39" s="191">
        <f>ROUND(K11*G39,0)</f>
        <v>0</v>
      </c>
      <c r="I39" s="191">
        <f t="shared" si="0"/>
        <v>0</v>
      </c>
      <c r="J39" s="190" t="s">
        <v>423</v>
      </c>
      <c r="K39" s="183">
        <v>1</v>
      </c>
      <c r="O39" s="51" t="s">
        <v>370</v>
      </c>
    </row>
    <row r="40" spans="1:15" ht="30.75" customHeight="1" x14ac:dyDescent="0.15">
      <c r="A40" s="185" t="s">
        <v>424</v>
      </c>
      <c r="B40" s="186" t="s">
        <v>425</v>
      </c>
      <c r="C40" s="187" t="s">
        <v>426</v>
      </c>
      <c r="D40" s="188">
        <f>'Định mức tư vấn'!F10</f>
        <v>2.0400000000000001E-3</v>
      </c>
      <c r="E40" s="189"/>
      <c r="F40" s="190" t="str">
        <f>D40*100&amp;"% x "&amp;"("&amp;J14&amp;"+"&amp;J16&amp;")"</f>
        <v>0,204% x (Gxd+Gtb)</v>
      </c>
      <c r="G40" s="191">
        <f>ROUND(D40*(M14+M16),0)</f>
        <v>0</v>
      </c>
      <c r="H40" s="191">
        <f>ROUND(K11*G40,0)</f>
        <v>0</v>
      </c>
      <c r="I40" s="191">
        <f t="shared" si="0"/>
        <v>0</v>
      </c>
      <c r="J40" s="190" t="s">
        <v>427</v>
      </c>
      <c r="K40" s="183">
        <v>1</v>
      </c>
      <c r="O40" s="51" t="s">
        <v>370</v>
      </c>
    </row>
    <row r="41" spans="1:15" ht="16.5" customHeight="1" x14ac:dyDescent="0.15">
      <c r="A41" s="185" t="s">
        <v>428</v>
      </c>
      <c r="B41" s="186" t="s">
        <v>429</v>
      </c>
      <c r="C41" s="187" t="s">
        <v>430</v>
      </c>
      <c r="D41" s="188">
        <v>0.2</v>
      </c>
      <c r="E41" s="189"/>
      <c r="F41" s="190" t="str">
        <f>D41*100&amp;"%*"&amp;C39</f>
        <v>20%*Gttbcnctkt</v>
      </c>
      <c r="G41" s="191">
        <f>D41*G40</f>
        <v>0</v>
      </c>
      <c r="H41" s="191">
        <f>ROUND(K11*G41,0)</f>
        <v>0</v>
      </c>
      <c r="I41" s="191">
        <f t="shared" si="0"/>
        <v>0</v>
      </c>
      <c r="J41" s="190" t="s">
        <v>431</v>
      </c>
      <c r="K41" s="183">
        <v>1</v>
      </c>
    </row>
    <row r="42" spans="1:15" ht="30.75" customHeight="1" x14ac:dyDescent="0.15">
      <c r="A42" s="185" t="s">
        <v>432</v>
      </c>
      <c r="B42" s="186" t="s">
        <v>433</v>
      </c>
      <c r="C42" s="187" t="s">
        <v>434</v>
      </c>
      <c r="D42" s="188">
        <f>'Định mức tư vấn'!F12</f>
        <v>2.5799999999999998E-3</v>
      </c>
      <c r="E42" s="189"/>
      <c r="F42" s="190" t="str">
        <f>D42*100&amp;"% x "&amp;J14</f>
        <v>0,258% x Gxd</v>
      </c>
      <c r="G42" s="191">
        <f>ROUND(D42*N14,0)</f>
        <v>0</v>
      </c>
      <c r="H42" s="191">
        <f>ROUND(K11*G42,0)</f>
        <v>0</v>
      </c>
      <c r="I42" s="191">
        <f t="shared" si="0"/>
        <v>0</v>
      </c>
      <c r="J42" s="190" t="s">
        <v>435</v>
      </c>
      <c r="K42" s="183">
        <v>1</v>
      </c>
      <c r="O42" s="51" t="s">
        <v>370</v>
      </c>
    </row>
    <row r="43" spans="1:15" ht="30.75" customHeight="1" x14ac:dyDescent="0.15">
      <c r="A43" s="185" t="s">
        <v>436</v>
      </c>
      <c r="B43" s="186" t="s">
        <v>437</v>
      </c>
      <c r="C43" s="187" t="s">
        <v>438</v>
      </c>
      <c r="D43" s="188">
        <f>'Định mức tư vấn'!F13</f>
        <v>2.5000000000000001E-3</v>
      </c>
      <c r="E43" s="189"/>
      <c r="F43" s="190" t="str">
        <f>D43*100&amp;"% x "&amp;J14</f>
        <v>0,25% x Gxd</v>
      </c>
      <c r="G43" s="191">
        <f>ROUND(D43*N14,0)</f>
        <v>0</v>
      </c>
      <c r="H43" s="191">
        <f>ROUND(K11*G43,0)</f>
        <v>0</v>
      </c>
      <c r="I43" s="191">
        <f t="shared" si="0"/>
        <v>0</v>
      </c>
      <c r="J43" s="190" t="s">
        <v>439</v>
      </c>
      <c r="K43" s="183">
        <v>1</v>
      </c>
      <c r="O43" s="51" t="s">
        <v>370</v>
      </c>
    </row>
    <row r="44" spans="1:15" ht="30.75" customHeight="1" x14ac:dyDescent="0.15">
      <c r="A44" s="185" t="s">
        <v>440</v>
      </c>
      <c r="B44" s="186" t="s">
        <v>441</v>
      </c>
      <c r="C44" s="187" t="s">
        <v>442</v>
      </c>
      <c r="D44" s="188"/>
      <c r="E44" s="189"/>
      <c r="F44" s="190" t="str">
        <f>D44*100&amp;"%*"&amp;C40&amp;IF(E44&lt;&gt;0,"*"&amp;E44,"")</f>
        <v>0%*Gttbcnckt</v>
      </c>
      <c r="G44" s="191">
        <f>IF(E44&lt;&gt;0,D44*E44*G40,D44*G40)</f>
        <v>0</v>
      </c>
      <c r="H44" s="191">
        <f>ROUND(K11*G44,0)</f>
        <v>0</v>
      </c>
      <c r="I44" s="191">
        <f t="shared" si="0"/>
        <v>0</v>
      </c>
      <c r="J44" s="190" t="s">
        <v>443</v>
      </c>
      <c r="K44" s="183">
        <v>1</v>
      </c>
      <c r="O44" s="51" t="s">
        <v>444</v>
      </c>
    </row>
    <row r="45" spans="1:15" ht="44.25" customHeight="1" x14ac:dyDescent="0.15">
      <c r="A45" s="185" t="s">
        <v>445</v>
      </c>
      <c r="B45" s="186" t="s">
        <v>446</v>
      </c>
      <c r="C45" s="187" t="s">
        <v>447</v>
      </c>
      <c r="D45" s="188"/>
      <c r="E45" s="189"/>
      <c r="F45" s="190" t="str">
        <f>D45*100&amp;"%*("&amp;C42&amp;"+"&amp;C43&amp;")"&amp;IF(E45&lt;&gt;0,"*"&amp;E45,"")</f>
        <v>0%*(Gttbcktkt_tk+Gttbcktkt_dt)</v>
      </c>
      <c r="G45" s="191">
        <f>IF(E45&lt;&gt;0,D45*E45*(G42+G43),D45*(G42+G43))</f>
        <v>0</v>
      </c>
      <c r="H45" s="191">
        <f>ROUND(K11*G45,0)</f>
        <v>0</v>
      </c>
      <c r="I45" s="191">
        <f t="shared" si="0"/>
        <v>0</v>
      </c>
      <c r="J45" s="190" t="s">
        <v>448</v>
      </c>
      <c r="K45" s="183">
        <v>1</v>
      </c>
      <c r="O45" s="51" t="s">
        <v>444</v>
      </c>
    </row>
    <row r="46" spans="1:15" ht="16.5" customHeight="1" x14ac:dyDescent="0.15">
      <c r="A46" s="185" t="s">
        <v>449</v>
      </c>
      <c r="B46" s="186" t="s">
        <v>450</v>
      </c>
      <c r="C46" s="187" t="s">
        <v>451</v>
      </c>
      <c r="D46" s="188"/>
      <c r="E46" s="189"/>
      <c r="F46" s="190" t="str">
        <f>""</f>
        <v/>
      </c>
      <c r="G46" s="191"/>
      <c r="H46" s="191">
        <f>ROUND(K11*G46,0)</f>
        <v>0</v>
      </c>
      <c r="I46" s="191">
        <f t="shared" si="0"/>
        <v>0</v>
      </c>
      <c r="J46" s="190" t="s">
        <v>452</v>
      </c>
      <c r="K46" s="183">
        <v>1</v>
      </c>
      <c r="O46" s="51" t="s">
        <v>453</v>
      </c>
    </row>
    <row r="47" spans="1:15" ht="16.5" customHeight="1" x14ac:dyDescent="0.15">
      <c r="A47" s="185" t="s">
        <v>454</v>
      </c>
      <c r="B47" s="186" t="s">
        <v>455</v>
      </c>
      <c r="C47" s="187" t="s">
        <v>456</v>
      </c>
      <c r="D47" s="188">
        <f>'Định mức tư vấn'!F14</f>
        <v>2.6700000000000002E-2</v>
      </c>
      <c r="E47" s="189"/>
      <c r="F47" s="190" t="str">
        <f>D47*100&amp;"% x "&amp;J14</f>
        <v>2,67% x Gxd</v>
      </c>
      <c r="G47" s="191">
        <f>ROUND(D47*G14,0)</f>
        <v>0</v>
      </c>
      <c r="H47" s="191">
        <f>ROUND(K11*G47,0)</f>
        <v>0</v>
      </c>
      <c r="I47" s="191">
        <f t="shared" si="0"/>
        <v>0</v>
      </c>
      <c r="J47" s="190" t="s">
        <v>457</v>
      </c>
      <c r="K47" s="183">
        <v>1</v>
      </c>
      <c r="O47" s="51" t="s">
        <v>370</v>
      </c>
    </row>
    <row r="48" spans="1:15" ht="16.5" customHeight="1" x14ac:dyDescent="0.15">
      <c r="A48" s="185" t="s">
        <v>458</v>
      </c>
      <c r="B48" s="186" t="s">
        <v>459</v>
      </c>
      <c r="C48" s="187" t="s">
        <v>460</v>
      </c>
      <c r="D48" s="188">
        <f>'Định mức tư vấn'!F15</f>
        <v>2.6700000000000002E-2</v>
      </c>
      <c r="E48" s="189"/>
      <c r="F48" s="190" t="str">
        <f>D48*100&amp;"% x "&amp;J14</f>
        <v>2,67% x Gxd</v>
      </c>
      <c r="G48" s="191">
        <f>ROUND(D48*G14,0)</f>
        <v>0</v>
      </c>
      <c r="H48" s="191">
        <f>ROUND(K11*G48,0)</f>
        <v>0</v>
      </c>
      <c r="I48" s="191">
        <f t="shared" si="0"/>
        <v>0</v>
      </c>
      <c r="J48" s="190" t="s">
        <v>461</v>
      </c>
      <c r="K48" s="183">
        <v>1</v>
      </c>
      <c r="O48" s="51" t="s">
        <v>370</v>
      </c>
    </row>
    <row r="49" spans="1:15" ht="44.25" customHeight="1" x14ac:dyDescent="0.15">
      <c r="A49" s="185" t="s">
        <v>462</v>
      </c>
      <c r="B49" s="186" t="s">
        <v>463</v>
      </c>
      <c r="C49" s="187" t="s">
        <v>464</v>
      </c>
      <c r="D49" s="188">
        <f>'Định mức tư vấn'!F16</f>
        <v>6.0000000000000001E-3</v>
      </c>
      <c r="E49" s="189"/>
      <c r="F49" s="190" t="str">
        <f>D49*100&amp;"% x "&amp;J16</f>
        <v>0,6% x Gtb</v>
      </c>
      <c r="G49" s="191">
        <f>ROUND(D49*G16,0)</f>
        <v>0</v>
      </c>
      <c r="H49" s="191">
        <f>ROUND(K11*G49,0)</f>
        <v>0</v>
      </c>
      <c r="I49" s="191">
        <f t="shared" si="0"/>
        <v>0</v>
      </c>
      <c r="J49" s="190" t="s">
        <v>465</v>
      </c>
      <c r="K49" s="183">
        <v>1</v>
      </c>
      <c r="O49" s="51" t="s">
        <v>370</v>
      </c>
    </row>
    <row r="50" spans="1:15" ht="16.5" customHeight="1" x14ac:dyDescent="0.15">
      <c r="A50" s="185" t="s">
        <v>466</v>
      </c>
      <c r="B50" s="186" t="s">
        <v>467</v>
      </c>
      <c r="C50" s="187" t="s">
        <v>468</v>
      </c>
      <c r="D50" s="188">
        <f>'Định mức tư vấn'!F17</f>
        <v>2.5799999999999998E-3</v>
      </c>
      <c r="E50" s="189"/>
      <c r="F50" s="190" t="str">
        <f>D50*100&amp;"% x "&amp;J14</f>
        <v>0,258% x Gxd</v>
      </c>
      <c r="G50" s="191">
        <f>ROUND(D50*G14,0)</f>
        <v>0</v>
      </c>
      <c r="H50" s="191">
        <f>ROUND(K11*G50,0)</f>
        <v>0</v>
      </c>
      <c r="I50" s="191">
        <f t="shared" si="0"/>
        <v>0</v>
      </c>
      <c r="J50" s="190" t="s">
        <v>469</v>
      </c>
      <c r="K50" s="183">
        <v>1</v>
      </c>
      <c r="O50" s="51" t="s">
        <v>370</v>
      </c>
    </row>
    <row r="51" spans="1:15" ht="16.5" customHeight="1" x14ac:dyDescent="0.15">
      <c r="A51" s="185" t="s">
        <v>470</v>
      </c>
      <c r="B51" s="186" t="s">
        <v>471</v>
      </c>
      <c r="C51" s="187" t="s">
        <v>472</v>
      </c>
      <c r="D51" s="188">
        <f>'Định mức tư vấn'!F18</f>
        <v>2.5799999999999998E-3</v>
      </c>
      <c r="E51" s="189"/>
      <c r="F51" s="190" t="str">
        <f>D51*100&amp;"% x "&amp;J14</f>
        <v>0,258% x Gxd</v>
      </c>
      <c r="G51" s="191">
        <f>ROUND(D51*G14,0)</f>
        <v>0</v>
      </c>
      <c r="H51" s="191">
        <f>ROUND(K11*G51,0)</f>
        <v>0</v>
      </c>
      <c r="I51" s="191">
        <f t="shared" si="0"/>
        <v>0</v>
      </c>
      <c r="J51" s="190" t="s">
        <v>473</v>
      </c>
      <c r="K51" s="183">
        <v>1</v>
      </c>
      <c r="O51" s="51" t="s">
        <v>370</v>
      </c>
    </row>
    <row r="52" spans="1:15" ht="16.5" customHeight="1" x14ac:dyDescent="0.15">
      <c r="A52" s="185" t="s">
        <v>474</v>
      </c>
      <c r="B52" s="186" t="s">
        <v>475</v>
      </c>
      <c r="C52" s="187" t="s">
        <v>476</v>
      </c>
      <c r="D52" s="188">
        <f>'Định mức tư vấn'!F19</f>
        <v>2.5000000000000001E-3</v>
      </c>
      <c r="E52" s="189"/>
      <c r="F52" s="190" t="str">
        <f>D52*100&amp;"% x "&amp;J14</f>
        <v>0,25% x Gxd</v>
      </c>
      <c r="G52" s="191">
        <f>ROUND(D52*G14,0)</f>
        <v>0</v>
      </c>
      <c r="H52" s="191">
        <f>ROUND(K11*G52,0)</f>
        <v>0</v>
      </c>
      <c r="I52" s="191">
        <f t="shared" si="0"/>
        <v>0</v>
      </c>
      <c r="J52" s="190" t="s">
        <v>477</v>
      </c>
      <c r="K52" s="183">
        <v>1</v>
      </c>
      <c r="O52" s="51" t="s">
        <v>370</v>
      </c>
    </row>
    <row r="53" spans="1:15" ht="44.25" customHeight="1" x14ac:dyDescent="0.15">
      <c r="A53" s="185" t="s">
        <v>478</v>
      </c>
      <c r="B53" s="186" t="s">
        <v>479</v>
      </c>
      <c r="C53" s="187" t="s">
        <v>480</v>
      </c>
      <c r="D53" s="188">
        <f>'Định mức tư vấn'!F20</f>
        <v>4.3200000000000001E-3</v>
      </c>
      <c r="E53" s="189"/>
      <c r="F53" s="190" t="str">
        <f>D53*100&amp;"% x "&amp;'Dự toán gói thầu'!F9&amp;"(Dự toán gói thầu)"</f>
        <v>0,432% x GXD(Dự toán gói thầu)</v>
      </c>
      <c r="G53" s="191">
        <f>ROUND(D53*'Dự toán gói thầu'!C9,0)</f>
        <v>0</v>
      </c>
      <c r="H53" s="191">
        <f>ROUND(K11*G53,0)</f>
        <v>0</v>
      </c>
      <c r="I53" s="191">
        <f t="shared" si="0"/>
        <v>0</v>
      </c>
      <c r="J53" s="190" t="s">
        <v>481</v>
      </c>
      <c r="K53" s="183">
        <v>1</v>
      </c>
      <c r="O53" s="51" t="s">
        <v>370</v>
      </c>
    </row>
    <row r="54" spans="1:15" ht="44.25" customHeight="1" x14ac:dyDescent="0.15">
      <c r="A54" s="185" t="s">
        <v>482</v>
      </c>
      <c r="B54" s="186" t="s">
        <v>483</v>
      </c>
      <c r="C54" s="187" t="s">
        <v>484</v>
      </c>
      <c r="D54" s="188"/>
      <c r="E54" s="189"/>
      <c r="F54" s="190" t="str">
        <f>"0,5%*"&amp;C35</f>
        <v>0,5%*Gbcnctkt</v>
      </c>
      <c r="G54" s="191">
        <f>ROUND(IF(G36&gt;0,IF(G36*0.5%&lt;5*10^6,5*10^6,IF(G36*0.5%&gt;40*10^6,40*10^6,G36*0.5%)),0),0)</f>
        <v>0</v>
      </c>
      <c r="H54" s="191">
        <f>ROUND(K11*G54,0)</f>
        <v>0</v>
      </c>
      <c r="I54" s="191">
        <f t="shared" si="0"/>
        <v>0</v>
      </c>
      <c r="J54" s="190" t="s">
        <v>485</v>
      </c>
      <c r="K54" s="183">
        <v>1</v>
      </c>
      <c r="O54" s="51" t="s">
        <v>486</v>
      </c>
    </row>
    <row r="55" spans="1:15" ht="44.25" customHeight="1" x14ac:dyDescent="0.15">
      <c r="A55" s="185" t="s">
        <v>487</v>
      </c>
      <c r="B55" s="186" t="s">
        <v>488</v>
      </c>
      <c r="C55" s="187" t="s">
        <v>489</v>
      </c>
      <c r="D55" s="188"/>
      <c r="E55" s="189"/>
      <c r="F55" s="190" t="s">
        <v>490</v>
      </c>
      <c r="G55" s="191">
        <f>ROUND(IF('Dự toán gói thầu'!E16*0.1%&lt;2000000,2000000,IF('Dự toán gói thầu'!E16*0.1%&gt;30000000,30000000,'Dự toán gói thầu'!E16*0.1%)),0)</f>
        <v>2000000</v>
      </c>
      <c r="H55" s="191">
        <f>ROUND(K11*G55,0)</f>
        <v>200000</v>
      </c>
      <c r="I55" s="191">
        <f t="shared" si="0"/>
        <v>2200000</v>
      </c>
      <c r="J55" s="190" t="s">
        <v>491</v>
      </c>
      <c r="K55" s="183">
        <v>1</v>
      </c>
      <c r="O55" s="51" t="s">
        <v>486</v>
      </c>
    </row>
    <row r="56" spans="1:15" ht="44.25" customHeight="1" x14ac:dyDescent="0.15">
      <c r="A56" s="185" t="s">
        <v>492</v>
      </c>
      <c r="B56" s="186" t="s">
        <v>493</v>
      </c>
      <c r="C56" s="187" t="s">
        <v>494</v>
      </c>
      <c r="D56" s="188"/>
      <c r="E56" s="189"/>
      <c r="F56" s="190" t="s">
        <v>495</v>
      </c>
      <c r="G56" s="191">
        <f>ROUND(IF('Dự toán gói thầu'!E16*0.06%&lt;2000000,2000000,IF('Dự toán gói thầu'!E16*0.06%&gt;30000000,30000000,'Dự toán gói thầu'!E16*0.06%)),0)</f>
        <v>2000000</v>
      </c>
      <c r="H56" s="191">
        <f>ROUND(K11*G56,0)</f>
        <v>200000</v>
      </c>
      <c r="I56" s="191">
        <f t="shared" si="0"/>
        <v>2200000</v>
      </c>
      <c r="J56" s="190" t="s">
        <v>496</v>
      </c>
      <c r="K56" s="183">
        <v>1</v>
      </c>
      <c r="O56" s="51" t="s">
        <v>486</v>
      </c>
    </row>
    <row r="57" spans="1:15" ht="44.25" customHeight="1" x14ac:dyDescent="0.15">
      <c r="A57" s="185" t="s">
        <v>497</v>
      </c>
      <c r="B57" s="186" t="s">
        <v>498</v>
      </c>
      <c r="C57" s="187" t="s">
        <v>499</v>
      </c>
      <c r="D57" s="188"/>
      <c r="E57" s="189"/>
      <c r="F57" s="190" t="s">
        <v>500</v>
      </c>
      <c r="G57" s="191">
        <f>ROUND(IF('Dự toán gói thầu'!E16*0.2%&lt;3000000,3000000,IF('Dự toán gói thầu'!E16*0.2%&gt;60000000,60000000,'Dự toán gói thầu'!E16*0.2%)),0)</f>
        <v>3000000</v>
      </c>
      <c r="H57" s="191">
        <f>ROUND(K11*G57,0)</f>
        <v>300000</v>
      </c>
      <c r="I57" s="191">
        <f t="shared" si="0"/>
        <v>3300000</v>
      </c>
      <c r="J57" s="190" t="s">
        <v>501</v>
      </c>
      <c r="K57" s="183">
        <v>1</v>
      </c>
      <c r="O57" s="51" t="s">
        <v>486</v>
      </c>
    </row>
    <row r="58" spans="1:15" ht="44.25" customHeight="1" x14ac:dyDescent="0.15">
      <c r="A58" s="185" t="s">
        <v>502</v>
      </c>
      <c r="B58" s="186" t="s">
        <v>503</v>
      </c>
      <c r="C58" s="187" t="s">
        <v>504</v>
      </c>
      <c r="D58" s="188"/>
      <c r="E58" s="189"/>
      <c r="F58" s="190" t="s">
        <v>490</v>
      </c>
      <c r="G58" s="191">
        <f>ROUND(IF('Dự toán gói thầu'!E16*0.1%&lt;2000000,2000000,IF('Dự toán gói thầu'!E16*0.1%&gt;60000000,60000000,'Dự toán gói thầu'!E16*0.1%)),0)</f>
        <v>2000000</v>
      </c>
      <c r="H58" s="191">
        <f>ROUND(K11*G58,0)</f>
        <v>200000</v>
      </c>
      <c r="I58" s="191">
        <f t="shared" si="0"/>
        <v>2200000</v>
      </c>
      <c r="J58" s="190" t="s">
        <v>505</v>
      </c>
      <c r="K58" s="183">
        <v>1</v>
      </c>
      <c r="O58" s="51" t="s">
        <v>486</v>
      </c>
    </row>
    <row r="59" spans="1:15" ht="44.25" customHeight="1" x14ac:dyDescent="0.15">
      <c r="A59" s="185" t="s">
        <v>506</v>
      </c>
      <c r="B59" s="186" t="s">
        <v>507</v>
      </c>
      <c r="C59" s="187" t="s">
        <v>508</v>
      </c>
      <c r="D59" s="188"/>
      <c r="E59" s="189"/>
      <c r="F59" s="190" t="s">
        <v>490</v>
      </c>
      <c r="G59" s="191">
        <f>ROUND(IF('Dự toán gói thầu'!E16*0.1%&lt;2000000,2000000,IF('Dự toán gói thầu'!E16*0.1%&gt;30000000,30000000,'Dự toán gói thầu'!E16*0.1%)),0)</f>
        <v>2000000</v>
      </c>
      <c r="H59" s="191">
        <f>ROUND(K11*G59,0)</f>
        <v>200000</v>
      </c>
      <c r="I59" s="191">
        <f t="shared" si="0"/>
        <v>2200000</v>
      </c>
      <c r="J59" s="190" t="s">
        <v>509</v>
      </c>
      <c r="K59" s="183">
        <v>1</v>
      </c>
      <c r="O59" s="51" t="s">
        <v>486</v>
      </c>
    </row>
    <row r="60" spans="1:15" ht="44.25" customHeight="1" x14ac:dyDescent="0.15">
      <c r="A60" s="185" t="s">
        <v>510</v>
      </c>
      <c r="B60" s="186" t="s">
        <v>511</v>
      </c>
      <c r="C60" s="187" t="s">
        <v>512</v>
      </c>
      <c r="D60" s="188"/>
      <c r="E60" s="189"/>
      <c r="F60" s="190" t="s">
        <v>500</v>
      </c>
      <c r="G60" s="191">
        <f>ROUND(IF('Dự toán gói thầu'!E16*0.2%&lt;3000000,3000000,IF('Dự toán gói thầu'!E16*0.2%&gt;60000000,60000000,'Dự toán gói thầu'!E16*0.2%)),0)</f>
        <v>3000000</v>
      </c>
      <c r="H60" s="191">
        <f>ROUND(K11*G60,0)</f>
        <v>300000</v>
      </c>
      <c r="I60" s="191">
        <f t="shared" si="0"/>
        <v>3300000</v>
      </c>
      <c r="J60" s="190" t="s">
        <v>513</v>
      </c>
      <c r="K60" s="183">
        <v>1</v>
      </c>
      <c r="O60" s="51" t="s">
        <v>486</v>
      </c>
    </row>
    <row r="61" spans="1:15" ht="44.25" customHeight="1" x14ac:dyDescent="0.15">
      <c r="A61" s="185" t="s">
        <v>514</v>
      </c>
      <c r="B61" s="186" t="s">
        <v>515</v>
      </c>
      <c r="C61" s="187" t="s">
        <v>516</v>
      </c>
      <c r="D61" s="188"/>
      <c r="E61" s="189"/>
      <c r="F61" s="190" t="s">
        <v>490</v>
      </c>
      <c r="G61" s="191">
        <f>ROUND(IF('Dự toán gói thầu'!E16*0.1%&lt;3000000,3000000,IF('Dự toán gói thầu'!E16*0.1%&gt;60000000,60000000,'Dự toán gói thầu'!E16*0.1%)),0)</f>
        <v>3000000</v>
      </c>
      <c r="H61" s="191">
        <f>ROUND(K11*G61,0)</f>
        <v>300000</v>
      </c>
      <c r="I61" s="191">
        <f t="shared" si="0"/>
        <v>3300000</v>
      </c>
      <c r="J61" s="190" t="s">
        <v>517</v>
      </c>
      <c r="K61" s="183">
        <v>1</v>
      </c>
      <c r="O61" s="51" t="s">
        <v>486</v>
      </c>
    </row>
    <row r="62" spans="1:15" ht="44.25" customHeight="1" x14ac:dyDescent="0.15">
      <c r="A62" s="185" t="s">
        <v>518</v>
      </c>
      <c r="B62" s="186" t="s">
        <v>519</v>
      </c>
      <c r="C62" s="187" t="s">
        <v>520</v>
      </c>
      <c r="D62" s="188"/>
      <c r="E62" s="189"/>
      <c r="F62" s="190" t="s">
        <v>521</v>
      </c>
      <c r="G62" s="191">
        <f>ROUND(IF('Dự toán gói thầu'!E16&lt;50*10^9,IF('Dự toán gói thầu'!E16*0.03%&lt;5*10^6,5*10^6,'Dự toán gói thầu'!E16*0.03%),IF(AND('Dự toán gói thầu'!E16&gt;=50*10^9,'Dự toán gói thầu'!E16&lt;100*10^9),IF('Dự toán gói thầu'!E16*0.025%&lt;15*10^6,15*10^6,'Dự toán gói thầu'!E16*0.025%),IF(AND('Dự toán gói thầu'!E16&gt;=100*10^9,'Dự toán gói thầu'!E16&lt;200*10^9),IF('Dự toán gói thầu'!E16*0.02%&lt;25*10^6,25*10^6,'Dự toán gói thầu'!E16*0.02%),IF('Dự toán gói thầu'!E16*0.015%&lt;40*10^6,40*10^6,IF('Dự toán gói thầu'!E16*0.015%&gt;60*10^6,60*10^6,'Dự toán gói thầu'!E16*0.015%))))),0)</f>
        <v>5000000</v>
      </c>
      <c r="H62" s="191">
        <f>ROUND(K11*G62,0)</f>
        <v>500000</v>
      </c>
      <c r="I62" s="191">
        <f t="shared" si="0"/>
        <v>5500000</v>
      </c>
      <c r="J62" s="190" t="s">
        <v>522</v>
      </c>
      <c r="K62" s="183">
        <v>1</v>
      </c>
      <c r="O62" s="51" t="s">
        <v>486</v>
      </c>
    </row>
    <row r="63" spans="1:15" ht="16.5" customHeight="1" x14ac:dyDescent="0.15">
      <c r="A63" s="185" t="s">
        <v>523</v>
      </c>
      <c r="B63" s="186" t="s">
        <v>524</v>
      </c>
      <c r="C63" s="187" t="s">
        <v>525</v>
      </c>
      <c r="D63" s="188">
        <f>'Định mức tư vấn'!F22</f>
        <v>3.2849999999999997E-2</v>
      </c>
      <c r="E63" s="189"/>
      <c r="F63" s="190" t="str">
        <f>D63*100&amp;"% x "&amp;J14</f>
        <v>3,285% x Gxd</v>
      </c>
      <c r="G63" s="191">
        <f>ROUND(D63*G14,0)</f>
        <v>0</v>
      </c>
      <c r="H63" s="191">
        <f>ROUND(K11*G63,0)</f>
        <v>0</v>
      </c>
      <c r="I63" s="191">
        <f t="shared" si="0"/>
        <v>0</v>
      </c>
      <c r="J63" s="190" t="s">
        <v>526</v>
      </c>
      <c r="K63" s="183">
        <v>1</v>
      </c>
      <c r="O63" s="51" t="s">
        <v>370</v>
      </c>
    </row>
    <row r="64" spans="1:15" ht="30.75" customHeight="1" x14ac:dyDescent="0.15">
      <c r="A64" s="185" t="s">
        <v>527</v>
      </c>
      <c r="B64" s="186" t="s">
        <v>528</v>
      </c>
      <c r="C64" s="187" t="s">
        <v>529</v>
      </c>
      <c r="D64" s="188">
        <f>'Định mức tư vấn'!F21</f>
        <v>3.6700000000000001E-3</v>
      </c>
      <c r="E64" s="189"/>
      <c r="F64" s="190" t="str">
        <f>D64*100&amp;"% x "&amp;J16</f>
        <v>0,367% x Gtb</v>
      </c>
      <c r="G64" s="191">
        <f>ROUND(D64*G16,0)</f>
        <v>0</v>
      </c>
      <c r="H64" s="191">
        <f>ROUND(K11*G64,0)</f>
        <v>0</v>
      </c>
      <c r="I64" s="191">
        <f t="shared" si="0"/>
        <v>0</v>
      </c>
      <c r="J64" s="190" t="s">
        <v>530</v>
      </c>
      <c r="K64" s="183">
        <v>1</v>
      </c>
      <c r="O64" s="51" t="s">
        <v>370</v>
      </c>
    </row>
    <row r="65" spans="1:15" ht="44.25" customHeight="1" x14ac:dyDescent="0.15">
      <c r="A65" s="185" t="s">
        <v>531</v>
      </c>
      <c r="B65" s="186" t="s">
        <v>532</v>
      </c>
      <c r="C65" s="187" t="s">
        <v>533</v>
      </c>
      <c r="D65" s="188">
        <v>0.3</v>
      </c>
      <c r="E65" s="189"/>
      <c r="F65" s="190" t="str">
        <f>D65*100&amp;"%*("&amp;C52&amp;"+"&amp;C63&amp;")"</f>
        <v>30%*(Gttdt+Ggstcxd)</v>
      </c>
      <c r="G65" s="191">
        <f>D65*(G53+G64)</f>
        <v>0</v>
      </c>
      <c r="H65" s="191">
        <f>ROUND(K11*G65,0)</f>
        <v>0</v>
      </c>
      <c r="I65" s="191">
        <f t="shared" si="0"/>
        <v>0</v>
      </c>
      <c r="J65" s="190" t="s">
        <v>534</v>
      </c>
      <c r="K65" s="183">
        <v>1</v>
      </c>
    </row>
    <row r="66" spans="1:15" ht="44.25" customHeight="1" x14ac:dyDescent="0.15">
      <c r="A66" s="185" t="s">
        <v>535</v>
      </c>
      <c r="B66" s="186" t="s">
        <v>536</v>
      </c>
      <c r="C66" s="187" t="s">
        <v>537</v>
      </c>
      <c r="D66" s="188">
        <v>0.6</v>
      </c>
      <c r="E66" s="189"/>
      <c r="F66" s="190" t="str">
        <f>D66*100&amp;"%*("&amp;C52&amp;"+"&amp;C63&amp;")"</f>
        <v>60%*(Gttdt+Ggstcxd)</v>
      </c>
      <c r="G66" s="191">
        <f>D66*(G53+G64)</f>
        <v>0</v>
      </c>
      <c r="H66" s="191">
        <f>ROUND(K11*G66,0)</f>
        <v>0</v>
      </c>
      <c r="I66" s="191">
        <f t="shared" si="0"/>
        <v>0</v>
      </c>
      <c r="J66" s="190" t="s">
        <v>538</v>
      </c>
      <c r="K66" s="183">
        <v>1</v>
      </c>
    </row>
    <row r="67" spans="1:15" ht="16.5" customHeight="1" x14ac:dyDescent="0.15">
      <c r="A67" s="185" t="s">
        <v>539</v>
      </c>
      <c r="B67" s="186" t="s">
        <v>540</v>
      </c>
      <c r="C67" s="187" t="s">
        <v>541</v>
      </c>
      <c r="D67" s="188">
        <f>'Định mức tư vấn'!F23</f>
        <v>8.4399999999999996E-3</v>
      </c>
      <c r="E67" s="189"/>
      <c r="F67" s="190" t="str">
        <f>D67*100&amp;"% x "&amp;J16</f>
        <v>0,844% x Gtb</v>
      </c>
      <c r="G67" s="191">
        <f>ROUND(D67*G16,0)</f>
        <v>0</v>
      </c>
      <c r="H67" s="191">
        <f>ROUND(K11*G67,0)</f>
        <v>0</v>
      </c>
      <c r="I67" s="191">
        <f t="shared" si="0"/>
        <v>0</v>
      </c>
      <c r="J67" s="190" t="s">
        <v>542</v>
      </c>
      <c r="K67" s="183">
        <v>1</v>
      </c>
      <c r="O67" s="51" t="s">
        <v>370</v>
      </c>
    </row>
    <row r="68" spans="1:15" ht="30.75" customHeight="1" x14ac:dyDescent="0.15">
      <c r="A68" s="185" t="s">
        <v>543</v>
      </c>
      <c r="B68" s="186" t="s">
        <v>544</v>
      </c>
      <c r="C68" s="187" t="s">
        <v>545</v>
      </c>
      <c r="D68" s="188">
        <f>'Định mức tư vấn'!F29</f>
        <v>7.0371000000000001E-3</v>
      </c>
      <c r="E68" s="189"/>
      <c r="F68" s="190" t="str">
        <f>""</f>
        <v/>
      </c>
      <c r="G68" s="191">
        <f>ROUND(D68*SUMIF(K25:K67,1,G25:G67),0)</f>
        <v>13819603</v>
      </c>
      <c r="H68" s="191">
        <f>ROUND(K11*G68,0)</f>
        <v>1381960</v>
      </c>
      <c r="I68" s="191">
        <f t="shared" si="0"/>
        <v>15201563</v>
      </c>
      <c r="J68" s="190" t="s">
        <v>546</v>
      </c>
      <c r="K68" s="183">
        <v>1</v>
      </c>
      <c r="L68" s="201">
        <f>SUMIF(K25:K67,1,G25:G67)</f>
        <v>1963820702.7245703</v>
      </c>
      <c r="O68" s="51" t="s">
        <v>370</v>
      </c>
    </row>
    <row r="69" spans="1:15" ht="30.75" customHeight="1" x14ac:dyDescent="0.15">
      <c r="A69" s="185" t="s">
        <v>547</v>
      </c>
      <c r="B69" s="186" t="s">
        <v>548</v>
      </c>
      <c r="C69" s="187" t="s">
        <v>549</v>
      </c>
      <c r="D69" s="188"/>
      <c r="E69" s="189"/>
      <c r="F69" s="190" t="str">
        <f>""</f>
        <v/>
      </c>
      <c r="G69" s="191"/>
      <c r="H69" s="191">
        <f>ROUND(K11*G69,0)</f>
        <v>0</v>
      </c>
      <c r="I69" s="191">
        <f t="shared" si="0"/>
        <v>0</v>
      </c>
      <c r="J69" s="190" t="s">
        <v>550</v>
      </c>
      <c r="K69" s="183">
        <v>1</v>
      </c>
    </row>
    <row r="70" spans="1:15" ht="22.5" customHeight="1" x14ac:dyDescent="0.15">
      <c r="A70" s="185" t="s">
        <v>551</v>
      </c>
      <c r="B70" s="186" t="s">
        <v>552</v>
      </c>
      <c r="C70" s="187" t="s">
        <v>553</v>
      </c>
      <c r="D70" s="188"/>
      <c r="E70" s="189"/>
      <c r="F70" s="190" t="str">
        <f>""</f>
        <v/>
      </c>
      <c r="G70" s="191"/>
      <c r="H70" s="191">
        <f>ROUND(K11*G70,0)</f>
        <v>0</v>
      </c>
      <c r="I70" s="191">
        <f t="shared" si="0"/>
        <v>0</v>
      </c>
      <c r="J70" s="190" t="s">
        <v>554</v>
      </c>
      <c r="K70" s="183">
        <v>1</v>
      </c>
      <c r="O70" s="51" t="s">
        <v>555</v>
      </c>
    </row>
    <row r="71" spans="1:15" ht="16.5" customHeight="1" x14ac:dyDescent="0.15">
      <c r="A71" s="184">
        <v>6</v>
      </c>
      <c r="B71" s="177" t="s">
        <v>556</v>
      </c>
      <c r="C71" s="178" t="s">
        <v>557</v>
      </c>
      <c r="D71" s="179"/>
      <c r="E71" s="180"/>
      <c r="F71" s="181" t="str">
        <f>""</f>
        <v/>
      </c>
      <c r="G71" s="182">
        <f>SUMIF(K72:K86,1,G72:G86)</f>
        <v>59242121.794346884</v>
      </c>
      <c r="H71" s="182">
        <f>SUMIF(K72:K86,1,H72:H86)</f>
        <v>4597842.5282727461</v>
      </c>
      <c r="I71" s="182">
        <f>SUMIF(K72:K86,1,I72:I86)</f>
        <v>63839964.322619624</v>
      </c>
      <c r="J71" s="181" t="s">
        <v>557</v>
      </c>
      <c r="K71" s="183">
        <v>1</v>
      </c>
    </row>
    <row r="72" spans="1:15" ht="16.5" customHeight="1" x14ac:dyDescent="0.15">
      <c r="A72" s="185" t="s">
        <v>558</v>
      </c>
      <c r="B72" s="186" t="s">
        <v>559</v>
      </c>
      <c r="C72" s="187" t="s">
        <v>560</v>
      </c>
      <c r="D72" s="188"/>
      <c r="E72" s="189"/>
      <c r="F72" s="190" t="str">
        <f>""</f>
        <v/>
      </c>
      <c r="G72" s="191"/>
      <c r="H72" s="191">
        <f>ROUND(K11*G72,0)</f>
        <v>0</v>
      </c>
      <c r="I72" s="191">
        <f t="shared" ref="I72:I86" si="1">G72+H72</f>
        <v>0</v>
      </c>
      <c r="J72" s="190" t="s">
        <v>561</v>
      </c>
      <c r="K72" s="183">
        <v>1</v>
      </c>
    </row>
    <row r="73" spans="1:15" ht="22.5" customHeight="1" x14ac:dyDescent="0.15">
      <c r="A73" s="185" t="s">
        <v>562</v>
      </c>
      <c r="B73" s="186" t="s">
        <v>563</v>
      </c>
      <c r="C73" s="187" t="s">
        <v>564</v>
      </c>
      <c r="D73" s="188"/>
      <c r="E73" s="189"/>
      <c r="F73" s="190" t="str">
        <f>""</f>
        <v/>
      </c>
      <c r="G73" s="191"/>
      <c r="H73" s="191">
        <f>ROUND(K11*G73,0)</f>
        <v>0</v>
      </c>
      <c r="I73" s="191">
        <f t="shared" si="1"/>
        <v>0</v>
      </c>
      <c r="J73" s="190" t="s">
        <v>565</v>
      </c>
      <c r="K73" s="183">
        <v>1</v>
      </c>
      <c r="O73" s="51" t="s">
        <v>566</v>
      </c>
    </row>
    <row r="74" spans="1:15" ht="44.25" customHeight="1" x14ac:dyDescent="0.15">
      <c r="A74" s="185" t="s">
        <v>567</v>
      </c>
      <c r="B74" s="186" t="s">
        <v>568</v>
      </c>
      <c r="C74" s="187" t="s">
        <v>569</v>
      </c>
      <c r="D74" s="188">
        <f>'Định mức tư vấn'!F24</f>
        <v>1.65E-3</v>
      </c>
      <c r="E74" s="189"/>
      <c r="F74" s="190" t="str">
        <f>D74*100&amp;"% x "&amp;J14</f>
        <v>0,165% x Gxd</v>
      </c>
      <c r="G74" s="191">
        <f>ROUND(D74*G14,0)</f>
        <v>0</v>
      </c>
      <c r="H74" s="191">
        <f>ROUND(K11*G74,0)</f>
        <v>0</v>
      </c>
      <c r="I74" s="191">
        <f t="shared" si="1"/>
        <v>0</v>
      </c>
      <c r="J74" s="190" t="s">
        <v>570</v>
      </c>
      <c r="K74" s="183">
        <v>1</v>
      </c>
      <c r="O74" s="51" t="s">
        <v>571</v>
      </c>
    </row>
    <row r="75" spans="1:15" ht="30.75" customHeight="1" x14ac:dyDescent="0.15">
      <c r="A75" s="185" t="s">
        <v>572</v>
      </c>
      <c r="B75" s="186" t="s">
        <v>573</v>
      </c>
      <c r="C75" s="187" t="s">
        <v>574</v>
      </c>
      <c r="D75" s="188">
        <f>'Định mức tư vấn'!F25</f>
        <v>1.6000000000000001E-3</v>
      </c>
      <c r="E75" s="189"/>
      <c r="F75" s="190" t="str">
        <f>D75*100&amp;"% x "&amp;J14</f>
        <v>0,16% x Gxd</v>
      </c>
      <c r="G75" s="191">
        <f>ROUND(D75*G14,0)</f>
        <v>0</v>
      </c>
      <c r="H75" s="191">
        <f>ROUND(K11*G75,0)</f>
        <v>0</v>
      </c>
      <c r="I75" s="191">
        <f t="shared" si="1"/>
        <v>0</v>
      </c>
      <c r="J75" s="190" t="s">
        <v>575</v>
      </c>
      <c r="K75" s="183">
        <v>1</v>
      </c>
      <c r="O75" s="51" t="s">
        <v>571</v>
      </c>
    </row>
    <row r="76" spans="1:15" ht="30.75" customHeight="1" x14ac:dyDescent="0.15">
      <c r="A76" s="185" t="s">
        <v>576</v>
      </c>
      <c r="B76" s="186" t="s">
        <v>577</v>
      </c>
      <c r="C76" s="187" t="s">
        <v>578</v>
      </c>
      <c r="D76" s="188">
        <f>'Định mức tư vấn'!F36</f>
        <v>1.9000000000000001E-4</v>
      </c>
      <c r="E76" s="189"/>
      <c r="F76" s="190" t="str">
        <f>""</f>
        <v/>
      </c>
      <c r="G76" s="191">
        <v>500000</v>
      </c>
      <c r="H76" s="191">
        <f>K11*G76</f>
        <v>50000</v>
      </c>
      <c r="I76" s="191">
        <f t="shared" si="1"/>
        <v>550000</v>
      </c>
      <c r="J76" s="190" t="s">
        <v>579</v>
      </c>
      <c r="K76" s="183">
        <v>1</v>
      </c>
    </row>
    <row r="77" spans="1:15" ht="30.75" customHeight="1" x14ac:dyDescent="0.15">
      <c r="A77" s="185" t="s">
        <v>580</v>
      </c>
      <c r="B77" s="186" t="s">
        <v>581</v>
      </c>
      <c r="C77" s="187" t="s">
        <v>582</v>
      </c>
      <c r="D77" s="188"/>
      <c r="E77" s="189"/>
      <c r="F77" s="190" t="str">
        <f>""</f>
        <v/>
      </c>
      <c r="G77" s="191"/>
      <c r="H77" s="191">
        <f>K11*G77</f>
        <v>0</v>
      </c>
      <c r="I77" s="191">
        <f t="shared" si="1"/>
        <v>0</v>
      </c>
      <c r="J77" s="190" t="s">
        <v>583</v>
      </c>
      <c r="K77" s="183">
        <v>1</v>
      </c>
      <c r="O77" s="51" t="s">
        <v>584</v>
      </c>
    </row>
    <row r="78" spans="1:15" ht="30.75" customHeight="1" x14ac:dyDescent="0.15">
      <c r="A78" s="185" t="s">
        <v>585</v>
      </c>
      <c r="B78" s="186" t="s">
        <v>586</v>
      </c>
      <c r="C78" s="187" t="s">
        <v>587</v>
      </c>
      <c r="D78" s="188">
        <v>0.5</v>
      </c>
      <c r="E78" s="189"/>
      <c r="F78" s="190" t="str">
        <f>D78*100&amp;"%*"&amp;C76</f>
        <v>50%*Gthamdinh</v>
      </c>
      <c r="G78" s="191">
        <f>D78*G76</f>
        <v>250000</v>
      </c>
      <c r="H78" s="191">
        <f>K11*G78</f>
        <v>25000</v>
      </c>
      <c r="I78" s="191">
        <f t="shared" si="1"/>
        <v>275000</v>
      </c>
      <c r="J78" s="190" t="s">
        <v>588</v>
      </c>
      <c r="K78" s="183">
        <v>1</v>
      </c>
      <c r="O78" s="51" t="s">
        <v>589</v>
      </c>
    </row>
    <row r="79" spans="1:15" ht="30.75" customHeight="1" x14ac:dyDescent="0.15">
      <c r="A79" s="185" t="s">
        <v>590</v>
      </c>
      <c r="B79" s="186" t="s">
        <v>591</v>
      </c>
      <c r="C79" s="187" t="s">
        <v>592</v>
      </c>
      <c r="D79" s="188">
        <f>'Định mức tư vấn'!F37</f>
        <v>4.8399999999999997E-5</v>
      </c>
      <c r="E79" s="189"/>
      <c r="F79" s="190" t="str">
        <f>""</f>
        <v/>
      </c>
      <c r="G79" s="191">
        <v>500000</v>
      </c>
      <c r="H79" s="191"/>
      <c r="I79" s="191">
        <f t="shared" si="1"/>
        <v>500000</v>
      </c>
      <c r="J79" s="190" t="s">
        <v>593</v>
      </c>
      <c r="K79" s="183">
        <v>1</v>
      </c>
      <c r="O79" s="51" t="s">
        <v>594</v>
      </c>
    </row>
    <row r="80" spans="1:15" ht="44.25" customHeight="1" x14ac:dyDescent="0.15">
      <c r="A80" s="185" t="s">
        <v>595</v>
      </c>
      <c r="B80" s="186" t="s">
        <v>596</v>
      </c>
      <c r="C80" s="187" t="s">
        <v>597</v>
      </c>
      <c r="D80" s="188"/>
      <c r="E80" s="189"/>
      <c r="F80" s="190" t="str">
        <f>""</f>
        <v/>
      </c>
      <c r="G80" s="191"/>
      <c r="H80" s="191"/>
      <c r="I80" s="191">
        <f t="shared" si="1"/>
        <v>0</v>
      </c>
      <c r="J80" s="190" t="s">
        <v>598</v>
      </c>
      <c r="K80" s="183">
        <v>1</v>
      </c>
      <c r="O80" s="51" t="s">
        <v>599</v>
      </c>
    </row>
    <row r="81" spans="1:15" ht="16.5" customHeight="1" x14ac:dyDescent="0.15">
      <c r="A81" s="185" t="s">
        <v>600</v>
      </c>
      <c r="B81" s="186" t="s">
        <v>601</v>
      </c>
      <c r="C81" s="187" t="s">
        <v>602</v>
      </c>
      <c r="D81" s="188">
        <f>'Định mức tư vấn'!F35</f>
        <v>5.7000000000000002E-3</v>
      </c>
      <c r="E81" s="189"/>
      <c r="F81" s="190" t="str">
        <f>""</f>
        <v/>
      </c>
      <c r="G81" s="191">
        <f>D81*(K90-50%*I12)</f>
        <v>12763692.511619428</v>
      </c>
      <c r="H81" s="191"/>
      <c r="I81" s="191">
        <f t="shared" si="1"/>
        <v>12763692.511619428</v>
      </c>
      <c r="J81" s="190" t="s">
        <v>603</v>
      </c>
      <c r="K81" s="183">
        <v>1</v>
      </c>
      <c r="O81" s="51" t="s">
        <v>604</v>
      </c>
    </row>
    <row r="82" spans="1:15" ht="48.75" customHeight="1" x14ac:dyDescent="0.15">
      <c r="A82" s="185" t="s">
        <v>605</v>
      </c>
      <c r="B82" s="186" t="s">
        <v>606</v>
      </c>
      <c r="C82" s="187" t="s">
        <v>607</v>
      </c>
      <c r="D82" s="188"/>
      <c r="E82" s="189"/>
      <c r="F82" s="190" t="str">
        <f>""</f>
        <v/>
      </c>
      <c r="G82" s="191"/>
      <c r="H82" s="191"/>
      <c r="I82" s="191">
        <f t="shared" si="1"/>
        <v>0</v>
      </c>
      <c r="J82" s="190" t="s">
        <v>608</v>
      </c>
      <c r="K82" s="183">
        <v>1</v>
      </c>
      <c r="O82" s="51" t="s">
        <v>609</v>
      </c>
    </row>
    <row r="83" spans="1:15" ht="16.5" customHeight="1" x14ac:dyDescent="0.15">
      <c r="A83" s="185" t="s">
        <v>610</v>
      </c>
      <c r="B83" s="186" t="s">
        <v>611</v>
      </c>
      <c r="C83" s="187" t="s">
        <v>612</v>
      </c>
      <c r="D83" s="188">
        <f>'Định mức tư vấn'!F34</f>
        <v>9.5999999999999992E-3</v>
      </c>
      <c r="E83" s="189"/>
      <c r="F83" s="190" t="str">
        <f>""</f>
        <v/>
      </c>
      <c r="G83" s="191">
        <f>D83*(K90-50%*I12)</f>
        <v>21496745.282727454</v>
      </c>
      <c r="H83" s="191">
        <f>K11*G83</f>
        <v>2149674.5282727457</v>
      </c>
      <c r="I83" s="191">
        <f t="shared" si="1"/>
        <v>23646419.811000198</v>
      </c>
      <c r="J83" s="190" t="s">
        <v>613</v>
      </c>
      <c r="K83" s="183">
        <v>1</v>
      </c>
      <c r="O83" s="51" t="s">
        <v>604</v>
      </c>
    </row>
    <row r="84" spans="1:15" ht="30.75" customHeight="1" x14ac:dyDescent="0.15">
      <c r="A84" s="185" t="s">
        <v>614</v>
      </c>
      <c r="B84" s="186" t="s">
        <v>615</v>
      </c>
      <c r="C84" s="187" t="s">
        <v>616</v>
      </c>
      <c r="D84" s="188"/>
      <c r="E84" s="189"/>
      <c r="F84" s="190" t="str">
        <f>D84*100&amp;"%*"&amp;C13</f>
        <v>0%*Gxd</v>
      </c>
      <c r="G84" s="191">
        <f>ROUND(IF(E84=0,D84*(I13+I16),D84*E84*(I13+I16)),0)</f>
        <v>0</v>
      </c>
      <c r="H84" s="191">
        <f>ROUND(K11*G84,0)</f>
        <v>0</v>
      </c>
      <c r="I84" s="191">
        <f t="shared" si="1"/>
        <v>0</v>
      </c>
      <c r="J84" s="190" t="s">
        <v>617</v>
      </c>
      <c r="K84" s="183">
        <v>1</v>
      </c>
      <c r="O84" s="51" t="s">
        <v>618</v>
      </c>
    </row>
    <row r="85" spans="1:15" ht="44.25" customHeight="1" x14ac:dyDescent="0.15">
      <c r="A85" s="185" t="s">
        <v>619</v>
      </c>
      <c r="B85" s="186" t="s">
        <v>620</v>
      </c>
      <c r="C85" s="187" t="s">
        <v>621</v>
      </c>
      <c r="D85" s="188">
        <v>1.2E-2</v>
      </c>
      <c r="E85" s="189"/>
      <c r="F85" s="190" t="str">
        <f>D85*100&amp;"%*"&amp;C24</f>
        <v>1,2%*Gtv</v>
      </c>
      <c r="G85" s="191">
        <f>ROUND(IF(E85=0,D85*G24,D85*E85*G24),0)</f>
        <v>23731684</v>
      </c>
      <c r="H85" s="191">
        <f>ROUND(K11*G85,0)</f>
        <v>2373168</v>
      </c>
      <c r="I85" s="191">
        <f t="shared" si="1"/>
        <v>26104852</v>
      </c>
      <c r="J85" s="190" t="s">
        <v>622</v>
      </c>
      <c r="K85" s="183">
        <v>1</v>
      </c>
      <c r="O85" s="51" t="s">
        <v>623</v>
      </c>
    </row>
    <row r="86" spans="1:15" ht="44.25" customHeight="1" x14ac:dyDescent="0.15">
      <c r="A86" s="185" t="s">
        <v>624</v>
      </c>
      <c r="B86" s="186" t="s">
        <v>625</v>
      </c>
      <c r="C86" s="187" t="s">
        <v>626</v>
      </c>
      <c r="D86" s="188"/>
      <c r="E86" s="189"/>
      <c r="F86" s="190" t="str">
        <f>D86*100&amp;"%*"&amp;C62</f>
        <v>0%*Ghdtvgqkn</v>
      </c>
      <c r="G86" s="191">
        <f>D86*G63</f>
        <v>0</v>
      </c>
      <c r="H86" s="191"/>
      <c r="I86" s="191">
        <f t="shared" si="1"/>
        <v>0</v>
      </c>
      <c r="J86" s="190" t="s">
        <v>627</v>
      </c>
      <c r="K86" s="183">
        <v>1</v>
      </c>
      <c r="O86" s="51" t="s">
        <v>628</v>
      </c>
    </row>
    <row r="87" spans="1:15" ht="16.5" customHeight="1" x14ac:dyDescent="0.15">
      <c r="A87" s="184">
        <v>7</v>
      </c>
      <c r="B87" s="177" t="s">
        <v>629</v>
      </c>
      <c r="C87" s="178" t="s">
        <v>284</v>
      </c>
      <c r="D87" s="179"/>
      <c r="E87" s="180"/>
      <c r="F87" s="181" t="s">
        <v>630</v>
      </c>
      <c r="G87" s="182">
        <f>SUM(G88:G89)</f>
        <v>254334741.90571478</v>
      </c>
      <c r="H87" s="182">
        <f>SUM(H88:H89)</f>
        <v>25433474.190571517</v>
      </c>
      <c r="I87" s="182">
        <f>SUM(I88:I89)</f>
        <v>279768216.0962863</v>
      </c>
      <c r="J87" s="181" t="s">
        <v>284</v>
      </c>
      <c r="K87" s="183">
        <v>1</v>
      </c>
    </row>
    <row r="88" spans="1:15" ht="57.75" customHeight="1" x14ac:dyDescent="0.15">
      <c r="A88" s="185" t="s">
        <v>631</v>
      </c>
      <c r="B88" s="186" t="s">
        <v>632</v>
      </c>
      <c r="C88" s="187" t="s">
        <v>633</v>
      </c>
      <c r="D88" s="188">
        <v>0</v>
      </c>
      <c r="E88" s="189"/>
      <c r="F88" s="190" t="str">
        <f>D88*100&amp;"% x (Gbt,tđc+Gcpxd+Gtb+Gqlda+Gtv+Gk)"</f>
        <v>0% x (Gbt,tđc+Gcpxd+Gtb+Gqlda+Gtv+Gk)</v>
      </c>
      <c r="G88" s="191">
        <f>I88/(1+K11)</f>
        <v>0</v>
      </c>
      <c r="H88" s="191">
        <f>I88-G88</f>
        <v>0</v>
      </c>
      <c r="I88" s="191">
        <f>D88*(I12+I13+I16+I22+I24+I71)</f>
        <v>0</v>
      </c>
      <c r="J88" s="190" t="s">
        <v>633</v>
      </c>
      <c r="K88" s="183">
        <v>1</v>
      </c>
      <c r="O88" s="51" t="s">
        <v>634</v>
      </c>
    </row>
    <row r="89" spans="1:15" ht="16.5" customHeight="1" x14ac:dyDescent="0.15">
      <c r="A89" s="185" t="s">
        <v>635</v>
      </c>
      <c r="B89" s="186" t="s">
        <v>636</v>
      </c>
      <c r="C89" s="187" t="s">
        <v>637</v>
      </c>
      <c r="D89" s="188">
        <f>ROUND(I89/I90,5)</f>
        <v>0.11106000000000001</v>
      </c>
      <c r="E89" s="189"/>
      <c r="F89" s="190" t="s">
        <v>638</v>
      </c>
      <c r="G89" s="191">
        <f>I89/(1+K11)</f>
        <v>254334741.90571478</v>
      </c>
      <c r="H89" s="191">
        <f>I89-G89</f>
        <v>25433474.190571517</v>
      </c>
      <c r="I89" s="191">
        <f>'Dự phòng'!H16</f>
        <v>279768216.0962863</v>
      </c>
      <c r="J89" s="190" t="s">
        <v>637</v>
      </c>
      <c r="K89" s="192">
        <f>I12+I13+I16+I22+I23+I24+I71</f>
        <v>2239244300.3199172</v>
      </c>
      <c r="O89" s="51" t="s">
        <v>639</v>
      </c>
    </row>
    <row r="90" spans="1:15" ht="16.5" customHeight="1" x14ac:dyDescent="0.15">
      <c r="A90" s="176"/>
      <c r="B90" s="177" t="s">
        <v>296</v>
      </c>
      <c r="C90" s="178" t="s">
        <v>640</v>
      </c>
      <c r="D90" s="179"/>
      <c r="E90" s="180"/>
      <c r="F90" s="181" t="str">
        <f>""</f>
        <v/>
      </c>
      <c r="G90" s="182">
        <f>G12+G13+G16+G21+G22+G23+G24+G71+G87</f>
        <v>2291217169.4246321</v>
      </c>
      <c r="H90" s="182">
        <f>H12+H13+H16+H21+H22+H23+H24+H71+H87</f>
        <v>227795346.99157169</v>
      </c>
      <c r="I90" s="182">
        <f>I12+I13+I16+I21+I22+I23+I24+I71+I87</f>
        <v>2519012516.4162035</v>
      </c>
      <c r="J90" s="181"/>
      <c r="K90" s="192">
        <v>2239244300.2841101</v>
      </c>
      <c r="L90" s="202">
        <f>I90-I87</f>
        <v>2239244300.3199172</v>
      </c>
      <c r="M90" s="201">
        <f>ROUND(K90-L90,1)</f>
        <v>0</v>
      </c>
      <c r="O90" s="51" t="s">
        <v>641</v>
      </c>
    </row>
    <row r="91" spans="1:15" ht="30.75" hidden="1" customHeight="1" x14ac:dyDescent="0.15">
      <c r="A91" s="176"/>
      <c r="B91" s="177" t="s">
        <v>642</v>
      </c>
      <c r="C91" s="178" t="s">
        <v>643</v>
      </c>
      <c r="D91" s="179"/>
      <c r="E91" s="180"/>
      <c r="F91" s="181" t="str">
        <f>""</f>
        <v/>
      </c>
      <c r="G91" s="182"/>
      <c r="H91" s="182">
        <f>SUM(H92:H95)</f>
        <v>0</v>
      </c>
      <c r="I91" s="182">
        <f>SUM(I92:I95)</f>
        <v>0</v>
      </c>
      <c r="J91" s="181" t="s">
        <v>451</v>
      </c>
      <c r="K91" s="183">
        <v>1</v>
      </c>
    </row>
    <row r="92" spans="1:15" ht="30.75" hidden="1" customHeight="1" x14ac:dyDescent="0.15">
      <c r="A92" s="185"/>
      <c r="B92" s="186" t="s">
        <v>644</v>
      </c>
      <c r="C92" s="187" t="s">
        <v>645</v>
      </c>
      <c r="D92" s="188"/>
      <c r="E92" s="189"/>
      <c r="F92" s="190" t="str">
        <f>""</f>
        <v/>
      </c>
      <c r="G92" s="191"/>
      <c r="H92" s="191">
        <f>ROUND(K11*G92,0)</f>
        <v>0</v>
      </c>
      <c r="I92" s="191">
        <f>G92+H92</f>
        <v>0</v>
      </c>
      <c r="J92" s="190" t="s">
        <v>646</v>
      </c>
      <c r="K92" s="183">
        <v>1</v>
      </c>
    </row>
    <row r="93" spans="1:15" ht="30.75" hidden="1" customHeight="1" x14ac:dyDescent="0.15">
      <c r="A93" s="185"/>
      <c r="B93" s="186" t="s">
        <v>647</v>
      </c>
      <c r="C93" s="187" t="s">
        <v>648</v>
      </c>
      <c r="D93" s="188"/>
      <c r="E93" s="189"/>
      <c r="F93" s="190" t="str">
        <f>D93*100&amp;"%*"&amp;C92</f>
        <v>0%*GthamdinhSau</v>
      </c>
      <c r="G93" s="191"/>
      <c r="H93" s="191">
        <f>ROUND(K11*G93,0)</f>
        <v>0</v>
      </c>
      <c r="I93" s="191">
        <f>G93+H93</f>
        <v>0</v>
      </c>
      <c r="J93" s="190" t="s">
        <v>649</v>
      </c>
      <c r="K93" s="183">
        <v>1</v>
      </c>
    </row>
    <row r="94" spans="1:15" ht="16.5" hidden="1" customHeight="1" x14ac:dyDescent="0.15">
      <c r="A94" s="185"/>
      <c r="B94" s="186" t="s">
        <v>601</v>
      </c>
      <c r="C94" s="187" t="s">
        <v>650</v>
      </c>
      <c r="D94" s="188"/>
      <c r="E94" s="189"/>
      <c r="F94" s="190" t="str">
        <f>""</f>
        <v/>
      </c>
      <c r="G94" s="191"/>
      <c r="H94" s="191">
        <f>ROUND(K11*G94,0)</f>
        <v>0</v>
      </c>
      <c r="I94" s="191">
        <f>G94+H94</f>
        <v>0</v>
      </c>
      <c r="J94" s="190" t="s">
        <v>651</v>
      </c>
      <c r="K94" s="183">
        <v>1</v>
      </c>
    </row>
    <row r="95" spans="1:15" ht="16.5" hidden="1" customHeight="1" x14ac:dyDescent="0.15">
      <c r="A95" s="185"/>
      <c r="B95" s="186" t="s">
        <v>611</v>
      </c>
      <c r="C95" s="187" t="s">
        <v>652</v>
      </c>
      <c r="D95" s="188"/>
      <c r="E95" s="189"/>
      <c r="F95" s="190" t="str">
        <f>""</f>
        <v/>
      </c>
      <c r="G95" s="191"/>
      <c r="H95" s="191">
        <f>ROUND(K11*G95,0)</f>
        <v>0</v>
      </c>
      <c r="I95" s="191">
        <f>G95+H95</f>
        <v>0</v>
      </c>
      <c r="J95" s="190" t="s">
        <v>653</v>
      </c>
      <c r="K95" s="183">
        <v>1</v>
      </c>
    </row>
    <row r="96" spans="1:15" ht="16.5" hidden="1" customHeight="1" x14ac:dyDescent="0.15">
      <c r="A96" s="176"/>
      <c r="B96" s="177" t="s">
        <v>654</v>
      </c>
      <c r="C96" s="178" t="s">
        <v>655</v>
      </c>
      <c r="D96" s="179"/>
      <c r="E96" s="180"/>
      <c r="F96" s="181" t="str">
        <f>""</f>
        <v/>
      </c>
      <c r="G96" s="182"/>
      <c r="H96" s="182">
        <f>H90+H91</f>
        <v>227795346.99157169</v>
      </c>
      <c r="I96" s="182">
        <f>I90+I91</f>
        <v>2519012516.4162035</v>
      </c>
      <c r="J96" s="181"/>
      <c r="K96" s="183">
        <v>1</v>
      </c>
    </row>
    <row r="97" spans="1:12" ht="16.5" customHeight="1" x14ac:dyDescent="0.15">
      <c r="A97" s="203"/>
      <c r="B97" s="204" t="s">
        <v>222</v>
      </c>
      <c r="C97" s="205" t="s">
        <v>656</v>
      </c>
      <c r="D97" s="206"/>
      <c r="E97" s="207"/>
      <c r="F97" s="208" t="str">
        <f>""</f>
        <v/>
      </c>
      <c r="G97" s="209"/>
      <c r="H97" s="209"/>
      <c r="I97" s="209">
        <f>ROUND(I96,-3)</f>
        <v>2519013000</v>
      </c>
      <c r="J97" s="181" t="s">
        <v>640</v>
      </c>
      <c r="K97" s="192">
        <v>2291217169.3847699</v>
      </c>
      <c r="L97" s="202">
        <f>G90-G12</f>
        <v>2291217169.4246321</v>
      </c>
    </row>
    <row r="98" spans="1:12" ht="30" customHeight="1" x14ac:dyDescent="0.15">
      <c r="A98" s="253" t="s">
        <v>657</v>
      </c>
      <c r="B98" s="254"/>
      <c r="C98" s="310"/>
      <c r="D98" s="254"/>
      <c r="E98" s="254"/>
      <c r="F98" s="254"/>
      <c r="G98" s="254"/>
      <c r="H98" s="254"/>
      <c r="I98" s="311"/>
      <c r="J98" s="210"/>
    </row>
  </sheetData>
  <mergeCells count="12">
    <mergeCell ref="A1:J1"/>
    <mergeCell ref="L10:N10"/>
    <mergeCell ref="A98:I98"/>
    <mergeCell ref="A2:J2"/>
    <mergeCell ref="A10:J10"/>
    <mergeCell ref="A3:J3"/>
    <mergeCell ref="A4:J4"/>
    <mergeCell ref="A5:J5"/>
    <mergeCell ref="A6:J6"/>
    <mergeCell ref="A7:J7"/>
    <mergeCell ref="A8:J8"/>
    <mergeCell ref="A9:J9"/>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0"/>
  <sheetViews>
    <sheetView workbookViewId="0">
      <selection activeCell="A6" sqref="A6"/>
    </sheetView>
  </sheetViews>
  <sheetFormatPr defaultColWidth="10" defaultRowHeight="15" customHeight="1" x14ac:dyDescent="0.15"/>
  <cols>
    <col min="1" max="1" width="6.6640625" style="41" customWidth="1"/>
    <col min="2" max="2" width="10" style="41" customWidth="1"/>
    <col min="3" max="3" width="14.1640625" style="41" customWidth="1"/>
    <col min="4" max="4" width="41.6640625" style="46" customWidth="1"/>
    <col min="5" max="5" width="9.33203125" style="41" customWidth="1"/>
    <col min="6" max="6" width="10" style="46" customWidth="1"/>
    <col min="7" max="7" width="41.6640625" style="46" customWidth="1"/>
    <col min="8" max="9" width="14.1640625" style="46" customWidth="1"/>
    <col min="10" max="10" width="8.33203125" style="46" customWidth="1"/>
    <col min="11" max="12" width="10" style="46" customWidth="1"/>
    <col min="13" max="16384" width="10" style="46"/>
  </cols>
  <sheetData>
    <row r="1" spans="1:10" ht="26.25" customHeight="1" x14ac:dyDescent="0.15">
      <c r="A1" s="258" t="s">
        <v>658</v>
      </c>
      <c r="B1" s="259"/>
      <c r="C1" s="259"/>
      <c r="D1" s="260"/>
      <c r="E1" s="259"/>
      <c r="F1" s="260"/>
      <c r="G1" s="260"/>
      <c r="H1" s="260"/>
      <c r="I1" s="260"/>
      <c r="J1" s="260"/>
    </row>
    <row r="2" spans="1:10" ht="54.75" customHeight="1" x14ac:dyDescent="0.15">
      <c r="A2" s="313" t="s">
        <v>224</v>
      </c>
      <c r="B2" s="259"/>
      <c r="C2" s="259"/>
      <c r="D2" s="260"/>
      <c r="E2" s="259"/>
      <c r="F2" s="260"/>
      <c r="G2" s="260"/>
      <c r="H2" s="260"/>
      <c r="I2" s="260"/>
      <c r="J2" s="260"/>
    </row>
    <row r="3" spans="1:10" ht="30" customHeight="1" x14ac:dyDescent="0.15">
      <c r="A3" s="313" t="s">
        <v>225</v>
      </c>
      <c r="B3" s="259"/>
      <c r="C3" s="259"/>
      <c r="D3" s="260"/>
      <c r="E3" s="259"/>
      <c r="F3" s="260"/>
      <c r="G3" s="260"/>
      <c r="H3" s="260"/>
      <c r="I3" s="260"/>
      <c r="J3" s="260"/>
    </row>
    <row r="4" spans="1:10" ht="56.25" customHeight="1" x14ac:dyDescent="0.15">
      <c r="A4" s="52" t="s">
        <v>4</v>
      </c>
      <c r="B4" s="19" t="s">
        <v>659</v>
      </c>
      <c r="C4" s="19" t="s">
        <v>660</v>
      </c>
      <c r="D4" s="19" t="s">
        <v>661</v>
      </c>
      <c r="E4" s="19" t="s">
        <v>662</v>
      </c>
      <c r="F4" s="19" t="s">
        <v>663</v>
      </c>
      <c r="G4" s="19" t="s">
        <v>664</v>
      </c>
      <c r="H4" s="19" t="s">
        <v>665</v>
      </c>
      <c r="I4" s="19" t="s">
        <v>666</v>
      </c>
      <c r="J4" s="19" t="s">
        <v>667</v>
      </c>
    </row>
    <row r="5" spans="1:10" ht="22.5" customHeight="1" x14ac:dyDescent="0.15">
      <c r="A5" s="21" t="s">
        <v>668</v>
      </c>
      <c r="B5" s="22" t="s">
        <v>669</v>
      </c>
      <c r="C5" s="22" t="s">
        <v>670</v>
      </c>
      <c r="D5" s="22" t="s">
        <v>671</v>
      </c>
      <c r="E5" s="22" t="s">
        <v>672</v>
      </c>
      <c r="F5" s="22" t="s">
        <v>673</v>
      </c>
      <c r="G5" s="22" t="s">
        <v>674</v>
      </c>
      <c r="H5" s="22" t="s">
        <v>675</v>
      </c>
      <c r="I5" s="22" t="s">
        <v>676</v>
      </c>
      <c r="J5" s="22" t="s">
        <v>677</v>
      </c>
    </row>
    <row r="6" spans="1:10" ht="40.5" customHeight="1" x14ac:dyDescent="0.15">
      <c r="A6" s="23">
        <f>'Công trình'!A7</f>
        <v>1</v>
      </c>
      <c r="B6" s="28">
        <f>'Công trình'!B7</f>
        <v>0</v>
      </c>
      <c r="C6" s="28" t="str">
        <f>'Công trình'!E7</f>
        <v>CE.12910</v>
      </c>
      <c r="D6" s="25" t="str">
        <f>'Công trình'!F7</f>
        <v>Thí nghiệm kiểm tra chất lượng cọc bê tông bằng phương pháp siêu âm</v>
      </c>
      <c r="E6" s="28" t="str">
        <f>'Công trình'!G7</f>
        <v>mặt cắt/lần TN</v>
      </c>
      <c r="F6" s="81"/>
      <c r="G6" s="29"/>
      <c r="H6" s="81"/>
      <c r="I6" s="81">
        <f>'Công trình'!P7</f>
        <v>1008</v>
      </c>
      <c r="J6" s="25"/>
    </row>
    <row r="7" spans="1:10" ht="15.75" customHeight="1" x14ac:dyDescent="0.15">
      <c r="A7" s="23"/>
      <c r="B7" s="28"/>
      <c r="C7" s="28"/>
      <c r="D7" s="25"/>
      <c r="E7" s="28"/>
      <c r="F7" s="81">
        <f>'Công trình'!H8</f>
        <v>151</v>
      </c>
      <c r="G7" s="29" t="str">
        <f>'Công trình'!F8&amp;" : "&amp;ROUND('Công trình'!I8,3)</f>
        <v>Cọc D1500 : 6</v>
      </c>
      <c r="H7" s="81">
        <f>PRODUCT('Công trình'!I8,'Công trình'!J8,'Công trình'!K8,'Công trình'!L8)</f>
        <v>6</v>
      </c>
      <c r="I7" s="81">
        <f>ROUND(PRODUCT(F7,H7),3)</f>
        <v>906</v>
      </c>
      <c r="J7" s="25"/>
    </row>
    <row r="8" spans="1:10" ht="15.75" customHeight="1" x14ac:dyDescent="0.15">
      <c r="A8" s="35"/>
      <c r="B8" s="62"/>
      <c r="C8" s="62"/>
      <c r="D8" s="37"/>
      <c r="E8" s="62"/>
      <c r="F8" s="85">
        <f>'Công trình'!H9</f>
        <v>34</v>
      </c>
      <c r="G8" s="162" t="str">
        <f>'Công trình'!F9&amp;" : "&amp;ROUND('Công trình'!I9,3)</f>
        <v>Cọc D1000 : 3</v>
      </c>
      <c r="H8" s="85">
        <f>PRODUCT('Công trình'!I9,'Công trình'!J9,'Công trình'!K9,'Công trình'!L9)</f>
        <v>3</v>
      </c>
      <c r="I8" s="85">
        <f>ROUND(PRODUCT(F8,H8),3)</f>
        <v>102</v>
      </c>
      <c r="J8" s="37"/>
    </row>
    <row r="9" spans="1:10" ht="30" customHeight="1" x14ac:dyDescent="0.25">
      <c r="A9" s="314" t="s">
        <v>678</v>
      </c>
      <c r="B9" s="259"/>
      <c r="C9" s="259"/>
      <c r="D9" s="260"/>
      <c r="E9" s="259"/>
      <c r="F9" s="260"/>
      <c r="G9" s="260"/>
      <c r="H9" s="260"/>
      <c r="I9" s="260"/>
      <c r="J9" s="260"/>
    </row>
    <row r="10" spans="1:10" ht="112.5" customHeight="1" x14ac:dyDescent="0.25">
      <c r="A10" s="281" t="str">
        <f>""</f>
        <v/>
      </c>
      <c r="B10" s="259"/>
      <c r="C10" s="259"/>
      <c r="D10" s="260"/>
      <c r="E10" s="259"/>
      <c r="F10" s="260"/>
      <c r="G10" s="260"/>
      <c r="H10" s="260"/>
      <c r="I10" s="260"/>
      <c r="J10" s="260"/>
    </row>
    <row r="11" spans="1:10" ht="26.25" customHeight="1" x14ac:dyDescent="0.15">
      <c r="A11" s="258" t="str">
        <f>A1</f>
        <v>BẢNG CHI TIẾT KHỐI LƯỢNG CÔNG TÁC XÂY DỰNG</v>
      </c>
      <c r="B11" s="259"/>
      <c r="C11" s="259"/>
      <c r="D11" s="260"/>
      <c r="E11" s="259"/>
      <c r="F11" s="260"/>
      <c r="G11" s="260"/>
      <c r="H11" s="260"/>
      <c r="I11" s="260"/>
      <c r="J11" s="260"/>
    </row>
    <row r="12" spans="1:10" ht="30" customHeight="1" x14ac:dyDescent="0.15">
      <c r="A12" s="313" t="str">
        <f>A2</f>
        <v>Tên công trình: XÂY DỰNG NHÀ Ở CHO LỰC LƯỢNG VŨ TRANG CÔNG AN NHÂN DÂN (NHÀ Ở XÃ HỘI CHO CÁN BỘ, CHIẾN SỸ CÔNG AN) TẠI CÁC Ô ĐẤT CE-ODK3 VÀ C3-ODK4 THUỘC QUY HOẠCH PHÂN KHU ĐÔ THỊ H2-4, PHƯỜNG YÊN SỞ, THÀNH PHỐ HÀ NỘI</v>
      </c>
      <c r="B12" s="259"/>
      <c r="C12" s="259"/>
      <c r="D12" s="260"/>
      <c r="E12" s="259"/>
      <c r="F12" s="260"/>
      <c r="G12" s="260"/>
      <c r="H12" s="260"/>
      <c r="I12" s="260"/>
      <c r="J12" s="260"/>
    </row>
    <row r="13" spans="1:10" ht="18.75" customHeight="1" x14ac:dyDescent="0.15">
      <c r="A13" s="313" t="s">
        <v>287</v>
      </c>
      <c r="B13" s="259"/>
      <c r="C13" s="259"/>
      <c r="D13" s="260"/>
      <c r="E13" s="259"/>
      <c r="F13" s="260"/>
      <c r="G13" s="260"/>
      <c r="H13" s="260"/>
      <c r="I13" s="260"/>
      <c r="J13" s="260"/>
    </row>
    <row r="14" spans="1:10" ht="56.25" customHeight="1" x14ac:dyDescent="0.15">
      <c r="A14" s="52" t="str">
        <f t="shared" ref="A14:J14" si="0">A4</f>
        <v>STT</v>
      </c>
      <c r="B14" s="19" t="str">
        <f t="shared" si="0"/>
        <v>Ký hiệu bản vẽ</v>
      </c>
      <c r="C14" s="19" t="str">
        <f t="shared" si="0"/>
        <v>Mã hiệu công tác</v>
      </c>
      <c r="D14" s="19" t="str">
        <f t="shared" si="0"/>
        <v>Danh mục công tác</v>
      </c>
      <c r="E14" s="19" t="str">
        <f t="shared" si="0"/>
        <v>Đơn vị tính</v>
      </c>
      <c r="F14" s="19" t="str">
        <f t="shared" si="0"/>
        <v>Số bộ phận giống nhau</v>
      </c>
      <c r="G14" s="19" t="str">
        <f t="shared" si="0"/>
        <v>Diễn giải tính toán</v>
      </c>
      <c r="H14" s="19" t="str">
        <f t="shared" si="0"/>
        <v>Khối lượng một bộ phận</v>
      </c>
      <c r="I14" s="19" t="str">
        <f t="shared" si="0"/>
        <v>Khối lượng toàn bộ</v>
      </c>
      <c r="J14" s="19" t="str">
        <f t="shared" si="0"/>
        <v>Ghi chú</v>
      </c>
    </row>
    <row r="15" spans="1:10" ht="22.5" customHeight="1" x14ac:dyDescent="0.15">
      <c r="A15" s="21" t="str">
        <f t="shared" ref="A15:J15" si="1">A5</f>
        <v>(1)</v>
      </c>
      <c r="B15" s="22" t="str">
        <f t="shared" si="1"/>
        <v>(2)</v>
      </c>
      <c r="C15" s="22" t="str">
        <f t="shared" si="1"/>
        <v>(3)</v>
      </c>
      <c r="D15" s="22" t="str">
        <f t="shared" si="1"/>
        <v>(4)</v>
      </c>
      <c r="E15" s="22" t="str">
        <f t="shared" si="1"/>
        <v>(5)</v>
      </c>
      <c r="F15" s="22" t="str">
        <f t="shared" si="1"/>
        <v>(6)</v>
      </c>
      <c r="G15" s="22" t="str">
        <f t="shared" si="1"/>
        <v>(7)</v>
      </c>
      <c r="H15" s="22" t="str">
        <f t="shared" si="1"/>
        <v>(8)</v>
      </c>
      <c r="I15" s="22" t="str">
        <f t="shared" si="1"/>
        <v>(9)</v>
      </c>
      <c r="J15" s="22" t="str">
        <f t="shared" si="1"/>
        <v>(10)</v>
      </c>
    </row>
    <row r="16" spans="1:10" ht="28.5" customHeight="1" x14ac:dyDescent="0.15">
      <c r="A16" s="23">
        <f>'Công trình'!A12</f>
        <v>1</v>
      </c>
      <c r="B16" s="28">
        <f>'Công trình'!B12</f>
        <v>0</v>
      </c>
      <c r="C16" s="28" t="str">
        <f>'Công trình'!E12</f>
        <v>AL.55120</v>
      </c>
      <c r="D16" s="25" t="str">
        <f>'Công trình'!F12</f>
        <v>Khoan kiểm tra, xử lý đáy cọc khoan nhồi, đường kính lỗ khoan &gt; 80mm</v>
      </c>
      <c r="E16" s="28" t="str">
        <f>'Công trình'!G12</f>
        <v>cọc</v>
      </c>
      <c r="F16" s="81"/>
      <c r="G16" s="29"/>
      <c r="H16" s="81"/>
      <c r="I16" s="81">
        <f>'Công trình'!P12</f>
        <v>22</v>
      </c>
      <c r="J16" s="25"/>
    </row>
    <row r="17" spans="1:10" ht="15.75" customHeight="1" x14ac:dyDescent="0.15">
      <c r="A17" s="23"/>
      <c r="B17" s="28"/>
      <c r="C17" s="28"/>
      <c r="D17" s="25"/>
      <c r="E17" s="28"/>
      <c r="F17" s="81">
        <f>'Công trình'!H13</f>
        <v>18</v>
      </c>
      <c r="G17" s="29" t="str">
        <f>'Công trình'!F13</f>
        <v>Cọc D1500</v>
      </c>
      <c r="H17" s="81">
        <f>'Công trình'!O13</f>
        <v>18</v>
      </c>
      <c r="I17" s="81">
        <f>H17</f>
        <v>18</v>
      </c>
      <c r="J17" s="25"/>
    </row>
    <row r="18" spans="1:10" ht="15.75" customHeight="1" x14ac:dyDescent="0.15">
      <c r="A18" s="35"/>
      <c r="B18" s="62"/>
      <c r="C18" s="62"/>
      <c r="D18" s="37"/>
      <c r="E18" s="62"/>
      <c r="F18" s="85">
        <f>'Công trình'!H14</f>
        <v>4</v>
      </c>
      <c r="G18" s="162" t="str">
        <f>'Công trình'!F14</f>
        <v>Cọc D1000</v>
      </c>
      <c r="H18" s="85">
        <f>'Công trình'!O14</f>
        <v>4</v>
      </c>
      <c r="I18" s="85">
        <f>H18</f>
        <v>4</v>
      </c>
      <c r="J18" s="37"/>
    </row>
    <row r="19" spans="1:10" ht="30" customHeight="1" x14ac:dyDescent="0.25">
      <c r="A19" s="314" t="s">
        <v>678</v>
      </c>
      <c r="B19" s="259"/>
      <c r="C19" s="259"/>
      <c r="D19" s="260"/>
      <c r="E19" s="259"/>
      <c r="F19" s="260"/>
      <c r="G19" s="260"/>
      <c r="H19" s="260"/>
      <c r="I19" s="260"/>
      <c r="J19" s="260"/>
    </row>
    <row r="20" spans="1:10" ht="112.5" customHeight="1" x14ac:dyDescent="0.25">
      <c r="A20" s="281" t="str">
        <f>""</f>
        <v/>
      </c>
      <c r="B20" s="259"/>
      <c r="C20" s="259"/>
      <c r="D20" s="260"/>
      <c r="E20" s="259"/>
      <c r="F20" s="260"/>
      <c r="G20" s="260"/>
      <c r="H20" s="260"/>
      <c r="I20" s="260"/>
      <c r="J20" s="260"/>
    </row>
  </sheetData>
  <mergeCells count="10">
    <mergeCell ref="A1:J1"/>
    <mergeCell ref="A2:J2"/>
    <mergeCell ref="A3:J3"/>
    <mergeCell ref="A9:J9"/>
    <mergeCell ref="A10:J10"/>
    <mergeCell ref="A11:J11"/>
    <mergeCell ref="A12:J12"/>
    <mergeCell ref="A13:J13"/>
    <mergeCell ref="A19:J19"/>
    <mergeCell ref="A20:J20"/>
  </mergeCells>
  <pageMargins left="1.2291666666666667" right="0" top="4.1666666666666664E-2" bottom="0.20833333333333334" header="0.57291666666666663" footer="0.40625"/>
  <pageSetup paperSize="0" orientation="landscape" blackAndWhite="1" useFirstPageNumber="1"/>
  <headerFooter>
    <oddFooter>&amp;C&amp;P</oddFooter>
  </headerFooter>
  <rowBreaks count="1" manualBreakCount="1">
    <brk id="10" max="1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ColWidth="10" defaultRowHeight="15" customHeight="1" x14ac:dyDescent="0.15"/>
  <cols>
    <col min="1" max="2" width="10" style="51" customWidth="1"/>
    <col min="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10"/>
  <sheetViews>
    <sheetView workbookViewId="0"/>
  </sheetViews>
  <sheetFormatPr defaultColWidth="10" defaultRowHeight="15" customHeight="1" x14ac:dyDescent="0.15"/>
  <cols>
    <col min="1" max="1" width="5.33203125" style="51" customWidth="1"/>
    <col min="2" max="2" width="12.5" style="51" customWidth="1"/>
    <col min="3" max="3" width="30.83203125" style="51" customWidth="1"/>
    <col min="4" max="4" width="9.33203125" style="51" customWidth="1"/>
    <col min="5" max="5" width="14" style="51" customWidth="1"/>
    <col min="6" max="6" width="11.33203125" style="51" customWidth="1"/>
    <col min="7" max="7" width="7.6640625" style="51" customWidth="1"/>
    <col min="8" max="10" width="11.33203125" style="51" customWidth="1"/>
    <col min="11" max="11" width="14.33203125" style="51" customWidth="1"/>
    <col min="12" max="12" width="7.6640625" style="51" customWidth="1"/>
    <col min="13" max="15" width="14.33203125" style="51" customWidth="1"/>
    <col min="16" max="18" width="7.83203125" style="51" customWidth="1"/>
    <col min="19" max="26" width="10" style="51" customWidth="1"/>
    <col min="27" max="16384" width="10" style="51"/>
  </cols>
  <sheetData>
    <row r="1" spans="1:18" ht="26.25" customHeight="1" x14ac:dyDescent="0.15">
      <c r="A1" s="258" t="s">
        <v>0</v>
      </c>
      <c r="B1" s="252"/>
      <c r="C1" s="252"/>
      <c r="D1" s="252"/>
      <c r="E1" s="252"/>
      <c r="F1" s="252"/>
      <c r="G1" s="252"/>
      <c r="H1" s="252"/>
      <c r="I1" s="252"/>
      <c r="J1" s="252"/>
      <c r="K1" s="252"/>
      <c r="L1" s="252"/>
      <c r="M1" s="252"/>
      <c r="N1" s="252"/>
      <c r="O1" s="252"/>
      <c r="P1" s="252"/>
      <c r="Q1" s="252"/>
      <c r="R1" s="252"/>
    </row>
    <row r="2" spans="1:18" ht="32.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52"/>
      <c r="C2" s="252"/>
      <c r="D2" s="252"/>
      <c r="E2" s="252"/>
      <c r="F2" s="252"/>
      <c r="G2" s="252"/>
      <c r="H2" s="252"/>
      <c r="I2" s="252"/>
      <c r="J2" s="252"/>
      <c r="K2" s="252"/>
      <c r="L2" s="252"/>
      <c r="M2" s="252"/>
      <c r="N2" s="252"/>
      <c r="O2" s="252"/>
      <c r="P2" s="252"/>
      <c r="Q2" s="252"/>
      <c r="R2" s="252"/>
    </row>
    <row r="3" spans="1:18" ht="37.5" customHeight="1" x14ac:dyDescent="0.15">
      <c r="A3" s="262" t="str">
        <f>'Công trình'!F6</f>
        <v>THÍ NGHIỆM SIÊU ÂM KIỂM TRA CHẤT LƯỢNG CỌC KHOAN ĐẠI TRÀ</v>
      </c>
      <c r="B3" s="252"/>
      <c r="C3" s="252"/>
      <c r="D3" s="252"/>
      <c r="E3" s="252"/>
      <c r="F3" s="252"/>
      <c r="G3" s="252"/>
      <c r="H3" s="252"/>
      <c r="I3" s="252"/>
      <c r="J3" s="252"/>
      <c r="K3" s="252"/>
      <c r="L3" s="252"/>
      <c r="M3" s="252"/>
      <c r="N3" s="252"/>
      <c r="O3" s="252"/>
      <c r="P3" s="252"/>
      <c r="Q3" s="252"/>
      <c r="R3" s="252"/>
    </row>
    <row r="4" spans="1:18" ht="18.75" customHeight="1" x14ac:dyDescent="0.15">
      <c r="A4" s="316" t="s">
        <v>255</v>
      </c>
      <c r="B4" s="214" t="s">
        <v>64</v>
      </c>
      <c r="C4" s="316" t="s">
        <v>219</v>
      </c>
      <c r="D4" s="316" t="s">
        <v>66</v>
      </c>
      <c r="E4" s="316" t="s">
        <v>17</v>
      </c>
      <c r="F4" s="316" t="str">
        <f>"Đơn giá "&amp;'Công trình'!AM1</f>
        <v>Đơn giá (đ)</v>
      </c>
      <c r="G4" s="316"/>
      <c r="H4" s="316"/>
      <c r="I4" s="316"/>
      <c r="J4" s="316"/>
      <c r="K4" s="316" t="str">
        <f>"Thành tiền "&amp;'Công trình'!AM1</f>
        <v>Thành tiền (đ)</v>
      </c>
      <c r="L4" s="316"/>
      <c r="M4" s="316"/>
      <c r="N4" s="316"/>
      <c r="O4" s="316"/>
      <c r="P4" s="316" t="s">
        <v>18</v>
      </c>
      <c r="Q4" s="316"/>
      <c r="R4" s="316"/>
    </row>
    <row r="5" spans="1:18" ht="26.25" customHeight="1" x14ac:dyDescent="0.15">
      <c r="A5" s="316"/>
      <c r="B5" s="214" t="s">
        <v>36</v>
      </c>
      <c r="C5" s="316"/>
      <c r="D5" s="316"/>
      <c r="E5" s="316"/>
      <c r="F5" s="214" t="s">
        <v>28</v>
      </c>
      <c r="G5" s="214" t="s">
        <v>679</v>
      </c>
      <c r="H5" s="214" t="s">
        <v>680</v>
      </c>
      <c r="I5" s="214" t="s">
        <v>681</v>
      </c>
      <c r="J5" s="214" t="s">
        <v>682</v>
      </c>
      <c r="K5" s="214" t="s">
        <v>28</v>
      </c>
      <c r="L5" s="214" t="s">
        <v>679</v>
      </c>
      <c r="M5" s="214" t="s">
        <v>680</v>
      </c>
      <c r="N5" s="214" t="s">
        <v>681</v>
      </c>
      <c r="O5" s="214" t="s">
        <v>682</v>
      </c>
      <c r="P5" s="214" t="s">
        <v>33</v>
      </c>
      <c r="Q5" s="214" t="s">
        <v>34</v>
      </c>
      <c r="R5" s="214" t="s">
        <v>35</v>
      </c>
    </row>
    <row r="6" spans="1:18" ht="26.25" customHeight="1" x14ac:dyDescent="0.15">
      <c r="A6" s="258" t="str">
        <f>A1</f>
        <v>BẢNG DỰ TOÁN HẠNG MỤC CÔNG TRÌNH</v>
      </c>
      <c r="B6" s="315"/>
      <c r="C6" s="252"/>
      <c r="D6" s="315"/>
      <c r="E6" s="252"/>
      <c r="F6" s="252"/>
      <c r="G6" s="252"/>
      <c r="H6" s="252"/>
      <c r="I6" s="252"/>
      <c r="J6" s="252"/>
      <c r="K6" s="252"/>
      <c r="L6" s="252"/>
      <c r="M6" s="252"/>
      <c r="N6" s="252"/>
      <c r="O6" s="252"/>
      <c r="P6" s="252"/>
      <c r="Q6" s="252"/>
      <c r="R6" s="252"/>
    </row>
    <row r="7" spans="1:18" ht="32.25" customHeight="1" x14ac:dyDescent="0.15">
      <c r="A7"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7" s="315"/>
      <c r="C7" s="252"/>
      <c r="D7" s="315"/>
      <c r="E7" s="252"/>
      <c r="F7" s="252"/>
      <c r="G7" s="252"/>
      <c r="H7" s="252"/>
      <c r="I7" s="252"/>
      <c r="J7" s="252"/>
      <c r="K7" s="252"/>
      <c r="L7" s="252"/>
      <c r="M7" s="252"/>
      <c r="N7" s="252"/>
      <c r="O7" s="252"/>
      <c r="P7" s="252"/>
      <c r="Q7" s="252"/>
      <c r="R7" s="252"/>
    </row>
    <row r="8" spans="1:18" ht="37.5" customHeight="1" x14ac:dyDescent="0.15">
      <c r="A8" s="262" t="str">
        <f>'Công trình'!F11</f>
        <v>KHOAN KIỂM TRA XỬ LÝ ĐÁY CỌC KHOAN NHỒI ĐẠI TRÀ</v>
      </c>
      <c r="B8" s="315"/>
      <c r="C8" s="252"/>
      <c r="D8" s="315"/>
      <c r="E8" s="252"/>
      <c r="F8" s="252"/>
      <c r="G8" s="252"/>
      <c r="H8" s="252"/>
      <c r="I8" s="252"/>
      <c r="J8" s="252"/>
      <c r="K8" s="252"/>
      <c r="L8" s="252"/>
      <c r="M8" s="252"/>
      <c r="N8" s="252"/>
      <c r="O8" s="252"/>
      <c r="P8" s="252"/>
      <c r="Q8" s="252"/>
      <c r="R8" s="252"/>
    </row>
    <row r="9" spans="1:18" ht="18.75" customHeight="1" x14ac:dyDescent="0.15">
      <c r="A9" s="316" t="str">
        <f t="shared" ref="A9:R9" si="0">A4</f>
        <v>TT</v>
      </c>
      <c r="B9" s="214" t="str">
        <f t="shared" si="0"/>
        <v>Mã số</v>
      </c>
      <c r="C9" s="316" t="str">
        <f t="shared" si="0"/>
        <v>Tên công tác</v>
      </c>
      <c r="D9" s="316" t="str">
        <f t="shared" si="0"/>
        <v>Đơn vị</v>
      </c>
      <c r="E9" s="316" t="str">
        <f t="shared" si="0"/>
        <v>Khối lượng</v>
      </c>
      <c r="F9" s="316" t="str">
        <f t="shared" si="0"/>
        <v>Đơn giá (đ)</v>
      </c>
      <c r="G9" s="316">
        <f t="shared" si="0"/>
        <v>0</v>
      </c>
      <c r="H9" s="316">
        <f t="shared" si="0"/>
        <v>0</v>
      </c>
      <c r="I9" s="316">
        <f t="shared" si="0"/>
        <v>0</v>
      </c>
      <c r="J9" s="316">
        <f t="shared" si="0"/>
        <v>0</v>
      </c>
      <c r="K9" s="316" t="str">
        <f t="shared" si="0"/>
        <v>Thành tiền (đ)</v>
      </c>
      <c r="L9" s="316">
        <f t="shared" si="0"/>
        <v>0</v>
      </c>
      <c r="M9" s="316">
        <f t="shared" si="0"/>
        <v>0</v>
      </c>
      <c r="N9" s="316">
        <f t="shared" si="0"/>
        <v>0</v>
      </c>
      <c r="O9" s="316">
        <f t="shared" si="0"/>
        <v>0</v>
      </c>
      <c r="P9" s="316" t="str">
        <f t="shared" si="0"/>
        <v>Hệ số điều chỉnh</v>
      </c>
      <c r="Q9" s="316">
        <f t="shared" si="0"/>
        <v>0</v>
      </c>
      <c r="R9" s="316">
        <f t="shared" si="0"/>
        <v>0</v>
      </c>
    </row>
    <row r="10" spans="1:18" ht="26.25" customHeight="1" x14ac:dyDescent="0.15">
      <c r="A10" s="316">
        <f t="shared" ref="A10:R10" si="1">A5</f>
        <v>0</v>
      </c>
      <c r="B10" s="214" t="str">
        <f t="shared" si="1"/>
        <v>Đơn giá</v>
      </c>
      <c r="C10" s="316">
        <f t="shared" si="1"/>
        <v>0</v>
      </c>
      <c r="D10" s="316">
        <f t="shared" si="1"/>
        <v>0</v>
      </c>
      <c r="E10" s="316">
        <f t="shared" si="1"/>
        <v>0</v>
      </c>
      <c r="F10" s="214" t="str">
        <f t="shared" si="1"/>
        <v>Vật liệu</v>
      </c>
      <c r="G10" s="214" t="str">
        <f t="shared" si="1"/>
        <v>Bù VL</v>
      </c>
      <c r="H10" s="214" t="str">
        <f t="shared" si="1"/>
        <v>NC XL</v>
      </c>
      <c r="I10" s="214" t="str">
        <f t="shared" si="1"/>
        <v>NC đất</v>
      </c>
      <c r="J10" s="214" t="str">
        <f t="shared" si="1"/>
        <v>Ca máy</v>
      </c>
      <c r="K10" s="214" t="str">
        <f t="shared" si="1"/>
        <v>Vật liệu</v>
      </c>
      <c r="L10" s="214" t="str">
        <f t="shared" si="1"/>
        <v>Bù VL</v>
      </c>
      <c r="M10" s="214" t="str">
        <f t="shared" si="1"/>
        <v>NC XL</v>
      </c>
      <c r="N10" s="214" t="str">
        <f t="shared" si="1"/>
        <v>NC đất</v>
      </c>
      <c r="O10" s="214" t="str">
        <f t="shared" si="1"/>
        <v>Ca máy</v>
      </c>
      <c r="P10" s="214" t="str">
        <f t="shared" si="1"/>
        <v>V.L</v>
      </c>
      <c r="Q10" s="214" t="str">
        <f t="shared" si="1"/>
        <v>N.C</v>
      </c>
      <c r="R10" s="214" t="str">
        <f t="shared" si="1"/>
        <v>Máy</v>
      </c>
    </row>
  </sheetData>
  <mergeCells count="20">
    <mergeCell ref="A1:R1"/>
    <mergeCell ref="A2:R2"/>
    <mergeCell ref="A3:R3"/>
    <mergeCell ref="A4:A5"/>
    <mergeCell ref="C4:C5"/>
    <mergeCell ref="D4:D5"/>
    <mergeCell ref="E4:E5"/>
    <mergeCell ref="F4:J4"/>
    <mergeCell ref="K4:O4"/>
    <mergeCell ref="P4:R4"/>
    <mergeCell ref="A6:R6"/>
    <mergeCell ref="A7:R7"/>
    <mergeCell ref="A8:R8"/>
    <mergeCell ref="A9:A10"/>
    <mergeCell ref="C9:C10"/>
    <mergeCell ref="D9:D10"/>
    <mergeCell ref="E9:E10"/>
    <mergeCell ref="F9:J9"/>
    <mergeCell ref="K9:O9"/>
    <mergeCell ref="P9:R9"/>
  </mergeCells>
  <pageMargins left="1.2291666666666667" right="0" top="0.82291666666666663" bottom="0.20833333333333334" header="0" footer="0.40625"/>
  <pageSetup paperSize="0" orientation="landscape" blackAndWhite="1" useFirstPageNumber="1"/>
  <headerFooter>
    <oddFooter>&amp;C&amp;P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4"/>
  <sheetViews>
    <sheetView workbookViewId="0"/>
  </sheetViews>
  <sheetFormatPr defaultColWidth="10" defaultRowHeight="15" customHeight="1" x14ac:dyDescent="0.15"/>
  <cols>
    <col min="1" max="1" width="6.5" style="46" customWidth="1"/>
    <col min="2" max="2" width="13.33203125" style="46" customWidth="1"/>
    <col min="3" max="3" width="35.83203125" style="46" customWidth="1"/>
    <col min="4" max="4" width="9" style="46" customWidth="1"/>
    <col min="5" max="5" width="12.5" style="46" customWidth="1"/>
    <col min="6" max="6" width="15" style="46" customWidth="1"/>
    <col min="7" max="7" width="7.1640625" style="46" customWidth="1"/>
    <col min="8" max="8" width="15" style="46" customWidth="1"/>
    <col min="9" max="16" width="10" style="46" customWidth="1"/>
    <col min="17" max="16384" width="10" style="46"/>
  </cols>
  <sheetData>
    <row r="1" spans="1:8" ht="26.25" customHeight="1" x14ac:dyDescent="0.15">
      <c r="A1" s="258" t="s">
        <v>683</v>
      </c>
      <c r="B1" s="260"/>
      <c r="C1" s="260"/>
      <c r="D1" s="260"/>
      <c r="E1" s="260"/>
      <c r="F1" s="260"/>
      <c r="G1" s="260"/>
      <c r="H1" s="260"/>
    </row>
    <row r="2" spans="1:8" ht="59.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c r="E2" s="260"/>
      <c r="F2" s="260"/>
      <c r="G2" s="260"/>
      <c r="H2" s="260"/>
    </row>
    <row r="3" spans="1:8" ht="37.5" customHeight="1" x14ac:dyDescent="0.15">
      <c r="A3" s="262" t="str">
        <f>'Công trình'!F6</f>
        <v>THÍ NGHIỆM SIÊU ÂM KIỂM TRA CHẤT LƯỢNG CỌC KHOAN ĐẠI TRÀ</v>
      </c>
      <c r="B3" s="260"/>
      <c r="C3" s="260"/>
      <c r="D3" s="260"/>
      <c r="E3" s="260"/>
      <c r="F3" s="260"/>
      <c r="G3" s="260"/>
      <c r="H3" s="260"/>
    </row>
    <row r="4" spans="1:8" ht="30" customHeight="1" x14ac:dyDescent="0.15">
      <c r="A4" s="52" t="s">
        <v>4</v>
      </c>
      <c r="B4" s="19" t="s">
        <v>64</v>
      </c>
      <c r="C4" s="19" t="s">
        <v>216</v>
      </c>
      <c r="D4" s="19" t="s">
        <v>66</v>
      </c>
      <c r="E4" s="19" t="s">
        <v>179</v>
      </c>
      <c r="F4" s="19" t="str">
        <f>"Đơn giá
"&amp;'Công trình'!AM1</f>
        <v>Đơn giá
(đ)</v>
      </c>
      <c r="G4" s="19" t="s">
        <v>67</v>
      </c>
      <c r="H4" s="19" t="str">
        <f>"Thành tiền
"&amp;'Công trình'!AM1</f>
        <v>Thành tiền
(đ)</v>
      </c>
    </row>
    <row r="5" spans="1:8" ht="40.5" customHeight="1" x14ac:dyDescent="0.15">
      <c r="A5" s="107">
        <f>'Công trình'!A7</f>
        <v>1</v>
      </c>
      <c r="B5" s="88" t="str">
        <f>'Công trình'!E7</f>
        <v>CE.12910</v>
      </c>
      <c r="C5" s="89" t="str">
        <f>'Công trình'!F7</f>
        <v>Thí nghiệm kiểm tra chất lượng cọc bê tông bằng phương pháp siêu âm</v>
      </c>
      <c r="D5" s="88" t="str">
        <f>'Công trình'!G7</f>
        <v>mặt cắt/lần TN</v>
      </c>
      <c r="E5" s="123">
        <v>1</v>
      </c>
      <c r="F5" s="93"/>
      <c r="G5" s="88"/>
      <c r="H5" s="93"/>
    </row>
    <row r="6" spans="1:8" ht="15.75" customHeight="1" x14ac:dyDescent="0.15">
      <c r="A6" s="124"/>
      <c r="B6" s="125"/>
      <c r="C6" s="110" t="s">
        <v>202</v>
      </c>
      <c r="D6" s="125"/>
      <c r="E6" s="110"/>
      <c r="F6" s="126"/>
      <c r="G6" s="125"/>
      <c r="H6" s="126">
        <f>H10</f>
        <v>3512.712</v>
      </c>
    </row>
    <row r="7" spans="1:8" ht="15.75" customHeight="1" x14ac:dyDescent="0.15">
      <c r="A7" s="127"/>
      <c r="B7" s="28" t="str">
        <f>'Giá tháng'!B$9</f>
        <v>A28.0325</v>
      </c>
      <c r="C7" s="25" t="str">
        <f>'Giá tháng'!C$9</f>
        <v>Thước thép 5m</v>
      </c>
      <c r="D7" s="28" t="str">
        <f>'Giá tháng'!D$9</f>
        <v>cái</v>
      </c>
      <c r="E7" s="103">
        <f>HaoPhiVatTu!F$8</f>
        <v>0.04</v>
      </c>
      <c r="F7" s="82">
        <f>'Tổng hợp VT'!O$7</f>
        <v>13636</v>
      </c>
      <c r="G7" s="104">
        <f>'Giá tháng'!G$9</f>
        <v>1</v>
      </c>
      <c r="H7" s="82">
        <f>E7*F7*G7</f>
        <v>545.44000000000005</v>
      </c>
    </row>
    <row r="8" spans="1:8" ht="15.75" customHeight="1" x14ac:dyDescent="0.15">
      <c r="A8" s="127"/>
      <c r="B8" s="28" t="str">
        <f>'Giá tháng'!B$8</f>
        <v>A28.0324</v>
      </c>
      <c r="C8" s="25" t="str">
        <f>'Giá tháng'!C$8</f>
        <v>Thước thép 42m</v>
      </c>
      <c r="D8" s="28" t="str">
        <f>'Giá tháng'!D$8</f>
        <v>cái</v>
      </c>
      <c r="E8" s="103">
        <f>HaoPhiVatTu!F$9</f>
        <v>0.04</v>
      </c>
      <c r="F8" s="82">
        <f>'Tổng hợp VT'!O$6</f>
        <v>70000</v>
      </c>
      <c r="G8" s="104">
        <f>'Giá tháng'!G$8</f>
        <v>1</v>
      </c>
      <c r="H8" s="82">
        <f>E8*F8*G8</f>
        <v>2800</v>
      </c>
    </row>
    <row r="9" spans="1:8" ht="15.75" customHeight="1" x14ac:dyDescent="0.15">
      <c r="A9" s="127"/>
      <c r="B9" s="28" t="s">
        <v>203</v>
      </c>
      <c r="C9" s="25" t="s">
        <v>204</v>
      </c>
      <c r="D9" s="28" t="s">
        <v>205</v>
      </c>
      <c r="E9" s="103">
        <f>HaoPhiVatTu!F$10</f>
        <v>5</v>
      </c>
      <c r="F9" s="82">
        <f>SUM(H7:H8)</f>
        <v>3345.44</v>
      </c>
      <c r="G9" s="28"/>
      <c r="H9" s="82">
        <f>E9*F9/100</f>
        <v>167.27200000000002</v>
      </c>
    </row>
    <row r="10" spans="1:8" ht="15.75" customHeight="1" x14ac:dyDescent="0.15">
      <c r="A10" s="127"/>
      <c r="B10" s="28"/>
      <c r="C10" s="25" t="s">
        <v>217</v>
      </c>
      <c r="D10" s="28"/>
      <c r="E10" s="25"/>
      <c r="F10" s="82"/>
      <c r="G10" s="28"/>
      <c r="H10" s="82">
        <f>SUM(H7:H9)</f>
        <v>3512.712</v>
      </c>
    </row>
    <row r="11" spans="1:8" ht="15.75" customHeight="1" x14ac:dyDescent="0.15">
      <c r="A11" s="124"/>
      <c r="B11" s="125"/>
      <c r="C11" s="110" t="s">
        <v>206</v>
      </c>
      <c r="D11" s="125"/>
      <c r="E11" s="110"/>
      <c r="F11" s="126"/>
      <c r="G11" s="125"/>
      <c r="H11" s="126">
        <f>H14</f>
        <v>678340</v>
      </c>
    </row>
    <row r="12" spans="1:8" ht="15.75" customHeight="1" x14ac:dyDescent="0.15">
      <c r="A12" s="127"/>
      <c r="B12" s="28" t="str">
        <f>'Giá tháng'!B$11</f>
        <v>NKS</v>
      </c>
      <c r="C12" s="25" t="str">
        <f>'Giá tháng'!C$11</f>
        <v>Kỹ sư</v>
      </c>
      <c r="D12" s="28" t="str">
        <f>'Giá tháng'!D$11</f>
        <v>công</v>
      </c>
      <c r="E12" s="103">
        <f>HaoPhiVatTu!F$12</f>
        <v>0.46</v>
      </c>
      <c r="F12" s="82">
        <f>'Tổng hợp VT'!O$11</f>
        <v>435000</v>
      </c>
      <c r="G12" s="104">
        <f>'Giá tháng'!G$11</f>
        <v>1</v>
      </c>
      <c r="H12" s="82">
        <f>E12*F12*G12</f>
        <v>200100</v>
      </c>
    </row>
    <row r="13" spans="1:8" ht="15.75" customHeight="1" x14ac:dyDescent="0.15">
      <c r="A13" s="127"/>
      <c r="B13" s="28" t="str">
        <f>'Giá tháng'!B$13</f>
        <v>N3</v>
      </c>
      <c r="C13" s="25" t="str">
        <f>'Giá tháng'!C$13</f>
        <v>Nhân công nhóm 3</v>
      </c>
      <c r="D13" s="28" t="str">
        <f>'Giá tháng'!D$13</f>
        <v>công</v>
      </c>
      <c r="E13" s="103">
        <f>HaoPhiVatTu!F$13</f>
        <v>1.1200000000000001</v>
      </c>
      <c r="F13" s="82">
        <f>'Tổng hợp VT'!O$12</f>
        <v>427000</v>
      </c>
      <c r="G13" s="104">
        <f>'Giá tháng'!G$13</f>
        <v>1</v>
      </c>
      <c r="H13" s="82">
        <f>E13*F13*G13</f>
        <v>478240.00000000006</v>
      </c>
    </row>
    <row r="14" spans="1:8" ht="15.75" customHeight="1" x14ac:dyDescent="0.15">
      <c r="A14" s="127"/>
      <c r="B14" s="28"/>
      <c r="C14" s="25" t="s">
        <v>217</v>
      </c>
      <c r="D14" s="28"/>
      <c r="E14" s="25"/>
      <c r="F14" s="82"/>
      <c r="G14" s="28"/>
      <c r="H14" s="82">
        <f>SUM(H12:H13)</f>
        <v>678340</v>
      </c>
    </row>
    <row r="15" spans="1:8" ht="15.75" customHeight="1" x14ac:dyDescent="0.15">
      <c r="A15" s="124"/>
      <c r="B15" s="125"/>
      <c r="C15" s="110" t="s">
        <v>207</v>
      </c>
      <c r="D15" s="125"/>
      <c r="E15" s="110"/>
      <c r="F15" s="126"/>
      <c r="G15" s="125"/>
      <c r="H15" s="126">
        <f>H18</f>
        <v>154550.68480000002</v>
      </c>
    </row>
    <row r="16" spans="1:8" ht="15.75" customHeight="1" x14ac:dyDescent="0.15">
      <c r="A16" s="127"/>
      <c r="B16" s="28" t="str">
        <f>'Giá tháng'!B$15</f>
        <v>M202.0008</v>
      </c>
      <c r="C16" s="25" t="str">
        <f>'Giá tháng'!C$15</f>
        <v>Bộ thiết bị siêu âm</v>
      </c>
      <c r="D16" s="28" t="str">
        <f>'Giá tháng'!D$15</f>
        <v>ca</v>
      </c>
      <c r="E16" s="103">
        <f>HaoPhiVatTu!F$15</f>
        <v>0.32</v>
      </c>
      <c r="F16" s="82">
        <f>'Tổng hợp VT'!O$15</f>
        <v>478189</v>
      </c>
      <c r="G16" s="104">
        <f>'Giá tháng'!G$15</f>
        <v>1</v>
      </c>
      <c r="H16" s="82">
        <f>E16*F16*G16</f>
        <v>153020.48000000001</v>
      </c>
    </row>
    <row r="17" spans="1:8" ht="15.75" customHeight="1" x14ac:dyDescent="0.15">
      <c r="A17" s="127"/>
      <c r="B17" s="28" t="s">
        <v>208</v>
      </c>
      <c r="C17" s="25" t="s">
        <v>209</v>
      </c>
      <c r="D17" s="28" t="s">
        <v>205</v>
      </c>
      <c r="E17" s="103">
        <f>HaoPhiVatTu!F$16</f>
        <v>1</v>
      </c>
      <c r="F17" s="82">
        <f>SUM(H16:H16)</f>
        <v>153020.48000000001</v>
      </c>
      <c r="G17" s="28"/>
      <c r="H17" s="82">
        <f>E17*F17/100</f>
        <v>1530.2048000000002</v>
      </c>
    </row>
    <row r="18" spans="1:8" ht="15.75" customHeight="1" x14ac:dyDescent="0.15">
      <c r="A18" s="127"/>
      <c r="B18" s="28"/>
      <c r="C18" s="25" t="s">
        <v>217</v>
      </c>
      <c r="D18" s="28"/>
      <c r="E18" s="25"/>
      <c r="F18" s="82"/>
      <c r="G18" s="28"/>
      <c r="H18" s="82">
        <f>SUM(H16:H17)</f>
        <v>154550.68480000002</v>
      </c>
    </row>
    <row r="19" spans="1:8" ht="28.5" customHeight="1" x14ac:dyDescent="0.15">
      <c r="A19" s="215"/>
      <c r="B19" s="88"/>
      <c r="C19" s="89" t="s">
        <v>684</v>
      </c>
      <c r="D19" s="88" t="s">
        <v>232</v>
      </c>
      <c r="E19" s="216"/>
      <c r="F19" s="93"/>
      <c r="G19" s="88"/>
      <c r="H19" s="93">
        <f>H6+H11+H15</f>
        <v>836403.3968000001</v>
      </c>
    </row>
    <row r="20" spans="1:8" ht="15.75" customHeight="1" x14ac:dyDescent="0.15">
      <c r="A20" s="127"/>
      <c r="B20" s="28"/>
      <c r="C20" s="25" t="s">
        <v>249</v>
      </c>
      <c r="D20" s="28" t="s">
        <v>251</v>
      </c>
      <c r="E20" s="217"/>
      <c r="F20" s="82"/>
      <c r="G20" s="28"/>
      <c r="H20" s="82">
        <f>SUM(H21:H22)</f>
        <v>525022.20380799996</v>
      </c>
    </row>
    <row r="21" spans="1:8" ht="15.75" customHeight="1" x14ac:dyDescent="0.15">
      <c r="A21" s="127"/>
      <c r="B21" s="28"/>
      <c r="C21" s="25" t="str">
        <f>"Chi phí chung (NC x "&amp;HSXL!C$14&amp;")"</f>
        <v>Chi phí chung (NC x 70%)</v>
      </c>
      <c r="D21" s="28" t="s">
        <v>253</v>
      </c>
      <c r="E21" s="217" t="str">
        <f>HSXL!C$14</f>
        <v>70%</v>
      </c>
      <c r="F21" s="82"/>
      <c r="G21" s="28"/>
      <c r="H21" s="82">
        <f>H11*HSXL!D$14</f>
        <v>474837.99999999994</v>
      </c>
    </row>
    <row r="22" spans="1:8" ht="40.5" customHeight="1" x14ac:dyDescent="0.15">
      <c r="A22" s="127"/>
      <c r="B22" s="28"/>
      <c r="C22" s="25" t="str">
        <f>"Chi phí một số công việc không xác định được khối lượng từ thiết kế (T x "&amp;HSXL!C$13&amp;")"</f>
        <v>Chi phí một số công việc không xác định được khối lượng từ thiết kế (T x 6%)</v>
      </c>
      <c r="D22" s="28" t="s">
        <v>255</v>
      </c>
      <c r="E22" s="217" t="str">
        <f>HSXL!C$13</f>
        <v>6%</v>
      </c>
      <c r="F22" s="82"/>
      <c r="G22" s="28"/>
      <c r="H22" s="82">
        <f>H19*HSXL!D$13</f>
        <v>50184.203808000006</v>
      </c>
    </row>
    <row r="23" spans="1:8" ht="28.5" customHeight="1" x14ac:dyDescent="0.15">
      <c r="A23" s="127"/>
      <c r="B23" s="28"/>
      <c r="C23" s="25" t="str">
        <f>"THU NHẬP CHỊU THUẾ TÍNH TRƯỚC (T+GT) x "&amp;HSXL!C$16</f>
        <v>THU NHẬP CHỊU THUẾ TÍNH TRƯỚC (T+GT) x 6%</v>
      </c>
      <c r="D23" s="28" t="s">
        <v>257</v>
      </c>
      <c r="E23" s="217" t="str">
        <f>HSXL!C$16</f>
        <v>6%</v>
      </c>
      <c r="F23" s="82"/>
      <c r="G23" s="28"/>
      <c r="H23" s="82">
        <f>(H19+H20)*HSXL!D$16</f>
        <v>81685.53603648</v>
      </c>
    </row>
    <row r="24" spans="1:8" ht="28.5" customHeight="1" x14ac:dyDescent="0.15">
      <c r="A24" s="127"/>
      <c r="B24" s="28"/>
      <c r="C24" s="25" t="s">
        <v>259</v>
      </c>
      <c r="D24" s="28" t="s">
        <v>260</v>
      </c>
      <c r="E24" s="217"/>
      <c r="F24" s="82"/>
      <c r="G24" s="28"/>
      <c r="H24" s="82">
        <f>H27</f>
        <v>72155.556832224</v>
      </c>
    </row>
    <row r="25" spans="1:8" ht="28.5" customHeight="1" x14ac:dyDescent="0.15">
      <c r="A25" s="127"/>
      <c r="B25" s="28"/>
      <c r="C25" s="25" t="s">
        <v>685</v>
      </c>
      <c r="D25" s="28" t="s">
        <v>263</v>
      </c>
      <c r="E25" s="217"/>
      <c r="F25" s="82"/>
      <c r="G25" s="28"/>
      <c r="H25" s="82">
        <f>(H19+H20+H23)*2%</f>
        <v>28862.222732889601</v>
      </c>
    </row>
    <row r="26" spans="1:8" ht="28.5" customHeight="1" x14ac:dyDescent="0.15">
      <c r="A26" s="127"/>
      <c r="B26" s="28"/>
      <c r="C26" s="25" t="s">
        <v>686</v>
      </c>
      <c r="D26" s="28" t="s">
        <v>266</v>
      </c>
      <c r="E26" s="217"/>
      <c r="F26" s="82"/>
      <c r="G26" s="28"/>
      <c r="H26" s="82">
        <f>(H19+H20+H23)*3%</f>
        <v>43293.334099334403</v>
      </c>
    </row>
    <row r="27" spans="1:8" ht="28.5" customHeight="1" x14ac:dyDescent="0.15">
      <c r="A27" s="215"/>
      <c r="B27" s="88"/>
      <c r="C27" s="89" t="s">
        <v>687</v>
      </c>
      <c r="D27" s="88" t="str">
        <f>""</f>
        <v/>
      </c>
      <c r="E27" s="216"/>
      <c r="F27" s="93"/>
      <c r="G27" s="88"/>
      <c r="H27" s="93">
        <f>SUM(H25:H26)</f>
        <v>72155.556832224</v>
      </c>
    </row>
    <row r="28" spans="1:8" ht="28.5" customHeight="1" x14ac:dyDescent="0.15">
      <c r="A28" s="127"/>
      <c r="B28" s="28"/>
      <c r="C28" s="25" t="s">
        <v>688</v>
      </c>
      <c r="D28" s="28" t="s">
        <v>271</v>
      </c>
      <c r="E28" s="217"/>
      <c r="F28" s="82"/>
      <c r="G28" s="28"/>
      <c r="H28" s="82">
        <f>H19+H20+H23+H27</f>
        <v>1515266.6934767039</v>
      </c>
    </row>
    <row r="29" spans="1:8" ht="28.5" customHeight="1" x14ac:dyDescent="0.15">
      <c r="A29" s="127"/>
      <c r="B29" s="28"/>
      <c r="C29" s="25" t="str">
        <f>"THUẾ GIÁ TRỊ GIA TĂNG (G x "&amp;HSXL!C$17&amp;")"</f>
        <v>THUẾ GIÁ TRỊ GIA TĂNG (G x 10%)</v>
      </c>
      <c r="D29" s="28" t="s">
        <v>274</v>
      </c>
      <c r="E29" s="138">
        <f>HSXL!D$17</f>
        <v>0.1</v>
      </c>
      <c r="F29" s="82"/>
      <c r="G29" s="28"/>
      <c r="H29" s="82">
        <f>E29*H28</f>
        <v>151526.66934767039</v>
      </c>
    </row>
    <row r="30" spans="1:8" ht="28.5" customHeight="1" x14ac:dyDescent="0.15">
      <c r="A30" s="127"/>
      <c r="B30" s="28"/>
      <c r="C30" s="25" t="s">
        <v>689</v>
      </c>
      <c r="D30" s="28" t="s">
        <v>277</v>
      </c>
      <c r="E30" s="101"/>
      <c r="F30" s="82"/>
      <c r="G30" s="28"/>
      <c r="H30" s="82">
        <f>H28+H29</f>
        <v>1666793.3628243743</v>
      </c>
    </row>
    <row r="31" spans="1:8" ht="28.5" customHeight="1" x14ac:dyDescent="0.15">
      <c r="A31" s="127"/>
      <c r="B31" s="28"/>
      <c r="C31" s="25" t="str">
        <f>"Chi phí nhà tạm để ở và điều hành thi công (Gks x "&amp;HSXL!C$18&amp;")"</f>
        <v>Chi phí nhà tạm để ở và điều hành thi công (Gks x 2%)</v>
      </c>
      <c r="D31" s="28" t="s">
        <v>280</v>
      </c>
      <c r="E31" s="101">
        <f>HSXL!D$18</f>
        <v>0.02</v>
      </c>
      <c r="F31" s="82"/>
      <c r="G31" s="28"/>
      <c r="H31" s="82">
        <f>E31*H30</f>
        <v>33335.867256487487</v>
      </c>
    </row>
    <row r="32" spans="1:8" ht="15.75" customHeight="1" x14ac:dyDescent="0.15">
      <c r="A32" s="127"/>
      <c r="B32" s="28"/>
      <c r="C32" s="25" t="s">
        <v>690</v>
      </c>
      <c r="D32" s="28" t="s">
        <v>284</v>
      </c>
      <c r="E32" s="101"/>
      <c r="F32" s="82"/>
      <c r="G32" s="28"/>
      <c r="H32" s="82">
        <f>E32*H30</f>
        <v>0</v>
      </c>
    </row>
    <row r="33" spans="1:8" ht="28.5" customHeight="1" x14ac:dyDescent="0.15">
      <c r="A33" s="218"/>
      <c r="B33" s="219"/>
      <c r="C33" s="220" t="s">
        <v>691</v>
      </c>
      <c r="D33" s="219" t="str">
        <f>""</f>
        <v/>
      </c>
      <c r="E33" s="221"/>
      <c r="F33" s="222"/>
      <c r="G33" s="219"/>
      <c r="H33" s="223">
        <f>H30+H31+H32</f>
        <v>1700129.2300808618</v>
      </c>
    </row>
    <row r="34" spans="1:8" ht="26.25" customHeight="1" x14ac:dyDescent="0.15">
      <c r="A34" s="258" t="str">
        <f>A1</f>
        <v>BẢNG CHIẾT TÍNH DỰ THẦU HẠNG MỤC CÔNG TRÌNH</v>
      </c>
      <c r="B34" s="259"/>
      <c r="C34" s="260"/>
      <c r="D34" s="259"/>
      <c r="E34" s="260"/>
      <c r="F34" s="260"/>
      <c r="G34" s="259"/>
      <c r="H34" s="260"/>
    </row>
    <row r="35" spans="1:8" ht="59.25" customHeight="1" x14ac:dyDescent="0.15">
      <c r="A35"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35" s="259"/>
      <c r="C35" s="260"/>
      <c r="D35" s="259"/>
      <c r="E35" s="260"/>
      <c r="F35" s="260"/>
      <c r="G35" s="259"/>
      <c r="H35" s="260"/>
    </row>
    <row r="36" spans="1:8" ht="37.5" customHeight="1" x14ac:dyDescent="0.15">
      <c r="A36" s="262" t="str">
        <f>'Công trình'!F11</f>
        <v>KHOAN KIỂM TRA XỬ LÝ ĐÁY CỌC KHOAN NHỒI ĐẠI TRÀ</v>
      </c>
      <c r="B36" s="259"/>
      <c r="C36" s="260"/>
      <c r="D36" s="259"/>
      <c r="E36" s="260"/>
      <c r="F36" s="260"/>
      <c r="G36" s="259"/>
      <c r="H36" s="260"/>
    </row>
    <row r="37" spans="1:8" ht="30" customHeight="1" x14ac:dyDescent="0.15">
      <c r="A37" s="52" t="str">
        <f t="shared" ref="A37:H37" si="0">A4</f>
        <v>STT</v>
      </c>
      <c r="B37" s="19" t="str">
        <f t="shared" si="0"/>
        <v>Mã số</v>
      </c>
      <c r="C37" s="19" t="str">
        <f t="shared" si="0"/>
        <v>Thành phần hao phí</v>
      </c>
      <c r="D37" s="19" t="str">
        <f t="shared" si="0"/>
        <v>Đơn vị</v>
      </c>
      <c r="E37" s="19" t="str">
        <f t="shared" si="0"/>
        <v>Định mức</v>
      </c>
      <c r="F37" s="19" t="str">
        <f t="shared" si="0"/>
        <v>Đơn giá
(đ)</v>
      </c>
      <c r="G37" s="19" t="str">
        <f t="shared" si="0"/>
        <v>Hệ số</v>
      </c>
      <c r="H37" s="19" t="str">
        <f t="shared" si="0"/>
        <v>Thành tiền
(đ)</v>
      </c>
    </row>
    <row r="38" spans="1:8" ht="40.5" customHeight="1" x14ac:dyDescent="0.15">
      <c r="A38" s="107">
        <f>'Công trình'!A12</f>
        <v>1</v>
      </c>
      <c r="B38" s="88" t="str">
        <f>'Công trình'!E12</f>
        <v>AL.55120</v>
      </c>
      <c r="C38" s="89" t="str">
        <f>'Công trình'!F12</f>
        <v>Khoan kiểm tra, xử lý đáy cọc khoan nhồi, đường kính lỗ khoan &gt; 80mm</v>
      </c>
      <c r="D38" s="88" t="str">
        <f>'Công trình'!G12</f>
        <v>cọc</v>
      </c>
      <c r="E38" s="123">
        <v>1</v>
      </c>
      <c r="F38" s="93"/>
      <c r="G38" s="88"/>
      <c r="H38" s="93"/>
    </row>
    <row r="39" spans="1:8" ht="15.75" customHeight="1" x14ac:dyDescent="0.15">
      <c r="A39" s="124"/>
      <c r="B39" s="125"/>
      <c r="C39" s="110" t="s">
        <v>202</v>
      </c>
      <c r="D39" s="125"/>
      <c r="E39" s="110"/>
      <c r="F39" s="126"/>
      <c r="G39" s="125"/>
      <c r="H39" s="126">
        <f>H42</f>
        <v>55160.950000000004</v>
      </c>
    </row>
    <row r="40" spans="1:8" ht="15.75" customHeight="1" x14ac:dyDescent="0.15">
      <c r="A40" s="127"/>
      <c r="B40" s="28" t="str">
        <f>'Giá tháng'!B$6</f>
        <v>A24.0247</v>
      </c>
      <c r="C40" s="25" t="str">
        <f>'Giá tháng'!C$6</f>
        <v>Cần khoan L=1,5m</v>
      </c>
      <c r="D40" s="28" t="str">
        <f>'Giá tháng'!D$6</f>
        <v>cái</v>
      </c>
      <c r="E40" s="103">
        <f>HaoPhiVatTu!F$24</f>
        <v>2.5999999999999999E-2</v>
      </c>
      <c r="F40" s="82">
        <f>'Tổng hợp VT'!O$23</f>
        <v>200000</v>
      </c>
      <c r="G40" s="104">
        <f>'Giá tháng'!G$6</f>
        <v>1</v>
      </c>
      <c r="H40" s="82">
        <f>E40*F40*G40</f>
        <v>5200</v>
      </c>
    </row>
    <row r="41" spans="1:8" ht="15.75" customHeight="1" x14ac:dyDescent="0.15">
      <c r="A41" s="127"/>
      <c r="B41" s="28" t="str">
        <f>'Giá tháng'!B$7</f>
        <v>A24.0492</v>
      </c>
      <c r="C41" s="25" t="str">
        <f>'Giá tháng'!C$7</f>
        <v>Mũi khoan d&gt;80mm</v>
      </c>
      <c r="D41" s="28" t="str">
        <f>'Giá tháng'!D$7</f>
        <v>cái</v>
      </c>
      <c r="E41" s="103">
        <f>HaoPhiVatTu!F$25</f>
        <v>6.5000000000000002E-2</v>
      </c>
      <c r="F41" s="82">
        <f>'Tổng hợp VT'!O$24</f>
        <v>768630</v>
      </c>
      <c r="G41" s="104">
        <f>'Giá tháng'!G$7</f>
        <v>1</v>
      </c>
      <c r="H41" s="82">
        <f>E41*F41*G41</f>
        <v>49960.950000000004</v>
      </c>
    </row>
    <row r="42" spans="1:8" ht="15.75" customHeight="1" x14ac:dyDescent="0.15">
      <c r="A42" s="127"/>
      <c r="B42" s="28"/>
      <c r="C42" s="25" t="s">
        <v>217</v>
      </c>
      <c r="D42" s="28"/>
      <c r="E42" s="25"/>
      <c r="F42" s="82"/>
      <c r="G42" s="28"/>
      <c r="H42" s="82">
        <f>SUM(H40:H41)</f>
        <v>55160.950000000004</v>
      </c>
    </row>
    <row r="43" spans="1:8" ht="15.75" customHeight="1" x14ac:dyDescent="0.15">
      <c r="A43" s="124"/>
      <c r="B43" s="125"/>
      <c r="C43" s="110" t="s">
        <v>206</v>
      </c>
      <c r="D43" s="125"/>
      <c r="E43" s="110"/>
      <c r="F43" s="126"/>
      <c r="G43" s="125"/>
      <c r="H43" s="126">
        <f>H44</f>
        <v>4336500</v>
      </c>
    </row>
    <row r="44" spans="1:8" ht="15.75" customHeight="1" x14ac:dyDescent="0.15">
      <c r="A44" s="127"/>
      <c r="B44" s="28" t="str">
        <f>'Giá tháng'!B$12</f>
        <v>N2</v>
      </c>
      <c r="C44" s="25" t="str">
        <f>'Giá tháng'!C$12</f>
        <v>Nhân công nhóm 2</v>
      </c>
      <c r="D44" s="28" t="str">
        <f>'Giá tháng'!D$12</f>
        <v>công</v>
      </c>
      <c r="E44" s="103">
        <f>HaoPhiVatTu!F$27</f>
        <v>10.5</v>
      </c>
      <c r="F44" s="82">
        <f>'Tổng hợp VT'!O$27</f>
        <v>413000</v>
      </c>
      <c r="G44" s="104">
        <f>'Giá tháng'!G$12</f>
        <v>1</v>
      </c>
      <c r="H44" s="82">
        <f>E44*F44*G44</f>
        <v>4336500</v>
      </c>
    </row>
    <row r="45" spans="1:8" ht="15.75" customHeight="1" x14ac:dyDescent="0.15">
      <c r="A45" s="124"/>
      <c r="B45" s="125"/>
      <c r="C45" s="110" t="s">
        <v>207</v>
      </c>
      <c r="D45" s="125"/>
      <c r="E45" s="110"/>
      <c r="F45" s="126"/>
      <c r="G45" s="125"/>
      <c r="H45" s="126">
        <f>H49</f>
        <v>2186539.5825</v>
      </c>
    </row>
    <row r="46" spans="1:8" ht="15" customHeight="1" x14ac:dyDescent="0.15">
      <c r="A46" s="127"/>
      <c r="B46" s="28" t="str">
        <f>'Giá tháng'!B$16</f>
        <v>M107.0202</v>
      </c>
      <c r="C46" s="25" t="str">
        <f>'Giá tháng'!C$16</f>
        <v>Máy khoan xoay đập tự hành F105mm</v>
      </c>
      <c r="D46" s="28" t="str">
        <f>'Giá tháng'!D$16</f>
        <v>ca</v>
      </c>
      <c r="E46" s="103">
        <f>HaoPhiVatTu!F$29</f>
        <v>0.45</v>
      </c>
      <c r="F46" s="82">
        <f>'Tổng hợp VT'!O$30</f>
        <v>2219339</v>
      </c>
      <c r="G46" s="104">
        <f>'Giá tháng'!G$16</f>
        <v>1</v>
      </c>
      <c r="H46" s="82">
        <f>E46*F46*G46</f>
        <v>998702.55</v>
      </c>
    </row>
    <row r="47" spans="1:8" ht="15" customHeight="1" x14ac:dyDescent="0.15">
      <c r="A47" s="127"/>
      <c r="B47" s="28" t="str">
        <f>'Giá tháng'!B$17</f>
        <v>M108.0307</v>
      </c>
      <c r="C47" s="25" t="str">
        <f>'Giá tháng'!C$17</f>
        <v>Máy nén khí diezel 660 m3/h</v>
      </c>
      <c r="D47" s="28" t="str">
        <f>'Giá tháng'!D$17</f>
        <v>ca</v>
      </c>
      <c r="E47" s="103">
        <f>HaoPhiVatTu!F$30</f>
        <v>0.45</v>
      </c>
      <c r="F47" s="82">
        <f>'Tổng hợp VT'!O$31</f>
        <v>2408258</v>
      </c>
      <c r="G47" s="104">
        <f>'Giá tháng'!G$17</f>
        <v>1</v>
      </c>
      <c r="H47" s="82">
        <f>E47*F47*G47</f>
        <v>1083716.1000000001</v>
      </c>
    </row>
    <row r="48" spans="1:8" ht="15" customHeight="1" x14ac:dyDescent="0.15">
      <c r="A48" s="127"/>
      <c r="B48" s="28" t="s">
        <v>208</v>
      </c>
      <c r="C48" s="25" t="s">
        <v>209</v>
      </c>
      <c r="D48" s="28" t="s">
        <v>205</v>
      </c>
      <c r="E48" s="103">
        <f>HaoPhiVatTu!F$31</f>
        <v>5</v>
      </c>
      <c r="F48" s="82">
        <f>SUM(H46:H47)</f>
        <v>2082418.6500000001</v>
      </c>
      <c r="G48" s="28"/>
      <c r="H48" s="82">
        <f>E48*F48/100</f>
        <v>104120.9325</v>
      </c>
    </row>
    <row r="49" spans="1:8" ht="15" customHeight="1" x14ac:dyDescent="0.15">
      <c r="A49" s="127"/>
      <c r="B49" s="28"/>
      <c r="C49" s="25" t="s">
        <v>217</v>
      </c>
      <c r="D49" s="28"/>
      <c r="E49" s="25"/>
      <c r="F49" s="82"/>
      <c r="G49" s="28"/>
      <c r="H49" s="82">
        <f>SUM(H46:H48)</f>
        <v>2186539.5825</v>
      </c>
    </row>
    <row r="50" spans="1:8" ht="15" customHeight="1" x14ac:dyDescent="0.15">
      <c r="A50" s="215"/>
      <c r="B50" s="88"/>
      <c r="C50" s="89" t="s">
        <v>684</v>
      </c>
      <c r="D50" s="88" t="s">
        <v>232</v>
      </c>
      <c r="E50" s="216"/>
      <c r="F50" s="93"/>
      <c r="G50" s="88"/>
      <c r="H50" s="93">
        <f>H39+H43+H45</f>
        <v>6578200.5325000007</v>
      </c>
    </row>
    <row r="51" spans="1:8" ht="15" customHeight="1" x14ac:dyDescent="0.15">
      <c r="A51" s="127"/>
      <c r="B51" s="28"/>
      <c r="C51" s="25" t="s">
        <v>249</v>
      </c>
      <c r="D51" s="28" t="s">
        <v>251</v>
      </c>
      <c r="E51" s="217"/>
      <c r="F51" s="82"/>
      <c r="G51" s="28"/>
      <c r="H51" s="82">
        <f>SUM(H52:H53)</f>
        <v>3430242.0319500002</v>
      </c>
    </row>
    <row r="52" spans="1:8" ht="15" customHeight="1" x14ac:dyDescent="0.15">
      <c r="A52" s="127"/>
      <c r="B52" s="28"/>
      <c r="C52" s="25" t="str">
        <f>"Chi phí chung (NC x "&amp;HSXL!C$33&amp;")"</f>
        <v>Chi phí chung (NC x 70%)</v>
      </c>
      <c r="D52" s="28" t="s">
        <v>253</v>
      </c>
      <c r="E52" s="217" t="str">
        <f>HSXL!C$33</f>
        <v>70%</v>
      </c>
      <c r="F52" s="82"/>
      <c r="G52" s="28"/>
      <c r="H52" s="82">
        <f>H43*HSXL!D$33</f>
        <v>3035550</v>
      </c>
    </row>
    <row r="53" spans="1:8" ht="15" customHeight="1" x14ac:dyDescent="0.15">
      <c r="A53" s="127"/>
      <c r="B53" s="28"/>
      <c r="C53" s="25" t="str">
        <f>"Chi phí một số công việc không xác định được khối lượng từ thiết kế (T x "&amp;HSXL!C$32&amp;")"</f>
        <v>Chi phí một số công việc không xác định được khối lượng từ thiết kế (T x 6%)</v>
      </c>
      <c r="D53" s="28" t="s">
        <v>255</v>
      </c>
      <c r="E53" s="217" t="str">
        <f>HSXL!C$32</f>
        <v>6%</v>
      </c>
      <c r="F53" s="82"/>
      <c r="G53" s="28"/>
      <c r="H53" s="82">
        <f>H50*HSXL!D$32</f>
        <v>394692.03195000003</v>
      </c>
    </row>
    <row r="54" spans="1:8" ht="15" customHeight="1" x14ac:dyDescent="0.15">
      <c r="A54" s="127"/>
      <c r="B54" s="28"/>
      <c r="C54" s="25" t="str">
        <f>"THU NHẬP CHỊU THUẾ TÍNH TRƯỚC (T+GT) x "&amp;HSXL!C$35</f>
        <v>THU NHẬP CHỊU THUẾ TÍNH TRƯỚC (T+GT) x 6%</v>
      </c>
      <c r="D54" s="28" t="s">
        <v>257</v>
      </c>
      <c r="E54" s="217" t="str">
        <f>HSXL!C$35</f>
        <v>6%</v>
      </c>
      <c r="F54" s="82"/>
      <c r="G54" s="28"/>
      <c r="H54" s="82">
        <f>(H50+H51)*HSXL!D$35</f>
        <v>600506.55386700004</v>
      </c>
    </row>
    <row r="55" spans="1:8" ht="15" customHeight="1" x14ac:dyDescent="0.15">
      <c r="A55" s="127"/>
      <c r="B55" s="28"/>
      <c r="C55" s="25" t="s">
        <v>259</v>
      </c>
      <c r="D55" s="28" t="s">
        <v>260</v>
      </c>
      <c r="E55" s="217"/>
      <c r="F55" s="82"/>
      <c r="G55" s="28"/>
      <c r="H55" s="82">
        <f>H58</f>
        <v>530447.45591585001</v>
      </c>
    </row>
    <row r="56" spans="1:8" ht="15" customHeight="1" x14ac:dyDescent="0.15">
      <c r="A56" s="127"/>
      <c r="B56" s="28"/>
      <c r="C56" s="25" t="s">
        <v>685</v>
      </c>
      <c r="D56" s="28" t="s">
        <v>263</v>
      </c>
      <c r="E56" s="217"/>
      <c r="F56" s="82"/>
      <c r="G56" s="28"/>
      <c r="H56" s="82">
        <f>(H50+H51+H54)*2%</f>
        <v>212178.98236634</v>
      </c>
    </row>
    <row r="57" spans="1:8" ht="15" customHeight="1" x14ac:dyDescent="0.15">
      <c r="A57" s="127"/>
      <c r="B57" s="28"/>
      <c r="C57" s="25" t="s">
        <v>686</v>
      </c>
      <c r="D57" s="28" t="s">
        <v>266</v>
      </c>
      <c r="E57" s="217"/>
      <c r="F57" s="82"/>
      <c r="G57" s="28"/>
      <c r="H57" s="82">
        <f>(H50+H51+H54)*3%</f>
        <v>318268.47354951</v>
      </c>
    </row>
    <row r="58" spans="1:8" ht="15" customHeight="1" x14ac:dyDescent="0.15">
      <c r="A58" s="215"/>
      <c r="B58" s="88"/>
      <c r="C58" s="89" t="s">
        <v>687</v>
      </c>
      <c r="D58" s="88" t="str">
        <f>""</f>
        <v/>
      </c>
      <c r="E58" s="216"/>
      <c r="F58" s="93"/>
      <c r="G58" s="88"/>
      <c r="H58" s="93">
        <f>SUM(H56:H57)</f>
        <v>530447.45591585001</v>
      </c>
    </row>
    <row r="59" spans="1:8" ht="15" customHeight="1" x14ac:dyDescent="0.15">
      <c r="A59" s="127"/>
      <c r="B59" s="28"/>
      <c r="C59" s="25" t="s">
        <v>688</v>
      </c>
      <c r="D59" s="28" t="s">
        <v>271</v>
      </c>
      <c r="E59" s="217"/>
      <c r="F59" s="82"/>
      <c r="G59" s="28"/>
      <c r="H59" s="82">
        <f>H50+H51+H54+H58</f>
        <v>11139396.57423285</v>
      </c>
    </row>
    <row r="60" spans="1:8" ht="15" customHeight="1" x14ac:dyDescent="0.15">
      <c r="A60" s="127"/>
      <c r="B60" s="28"/>
      <c r="C60" s="25" t="str">
        <f>"THUẾ GIÁ TRỊ GIA TĂNG (G x "&amp;HSXL!C$36&amp;")"</f>
        <v>THUẾ GIÁ TRỊ GIA TĂNG (G x 10%)</v>
      </c>
      <c r="D60" s="28" t="s">
        <v>274</v>
      </c>
      <c r="E60" s="138">
        <f>HSXL!D$36</f>
        <v>0.1</v>
      </c>
      <c r="F60" s="82"/>
      <c r="G60" s="28"/>
      <c r="H60" s="82">
        <f>E60*H59</f>
        <v>1113939.6574232851</v>
      </c>
    </row>
    <row r="61" spans="1:8" ht="15" customHeight="1" x14ac:dyDescent="0.15">
      <c r="A61" s="127"/>
      <c r="B61" s="28"/>
      <c r="C61" s="25" t="s">
        <v>689</v>
      </c>
      <c r="D61" s="28" t="s">
        <v>277</v>
      </c>
      <c r="E61" s="101"/>
      <c r="F61" s="82"/>
      <c r="G61" s="28"/>
      <c r="H61" s="82">
        <f>H59+H60</f>
        <v>12253336.231656136</v>
      </c>
    </row>
    <row r="62" spans="1:8" ht="15" customHeight="1" x14ac:dyDescent="0.15">
      <c r="A62" s="127"/>
      <c r="B62" s="28"/>
      <c r="C62" s="25" t="str">
        <f>"Chi phí nhà tạm để ở và điều hành thi công (Gks x "&amp;HSXL!C$37&amp;")"</f>
        <v>Chi phí nhà tạm để ở và điều hành thi công (Gks x 2%)</v>
      </c>
      <c r="D62" s="28" t="s">
        <v>280</v>
      </c>
      <c r="E62" s="101">
        <f>HSXL!D$37</f>
        <v>0.02</v>
      </c>
      <c r="F62" s="82"/>
      <c r="G62" s="28"/>
      <c r="H62" s="82">
        <f>E62*H61</f>
        <v>245066.72463312274</v>
      </c>
    </row>
    <row r="63" spans="1:8" ht="15" customHeight="1" x14ac:dyDescent="0.15">
      <c r="A63" s="127"/>
      <c r="B63" s="28"/>
      <c r="C63" s="25" t="s">
        <v>690</v>
      </c>
      <c r="D63" s="28" t="s">
        <v>284</v>
      </c>
      <c r="E63" s="101"/>
      <c r="F63" s="82"/>
      <c r="G63" s="28"/>
      <c r="H63" s="82">
        <f>E63*H61</f>
        <v>0</v>
      </c>
    </row>
    <row r="64" spans="1:8" ht="15" customHeight="1" x14ac:dyDescent="0.15">
      <c r="A64" s="218"/>
      <c r="B64" s="219"/>
      <c r="C64" s="220" t="s">
        <v>691</v>
      </c>
      <c r="D64" s="219" t="str">
        <f>""</f>
        <v/>
      </c>
      <c r="E64" s="221"/>
      <c r="F64" s="222"/>
      <c r="G64" s="219"/>
      <c r="H64" s="223">
        <f>H61+H62+H63</f>
        <v>12498402.956289258</v>
      </c>
    </row>
  </sheetData>
  <mergeCells count="6">
    <mergeCell ref="A36:H36"/>
    <mergeCell ref="A1:H1"/>
    <mergeCell ref="A2:H2"/>
    <mergeCell ref="A3:H3"/>
    <mergeCell ref="A34:H34"/>
    <mergeCell ref="A35:H35"/>
  </mergeCells>
  <pageMargins left="1.2291666666666667" right="0" top="0.82291666666666663" bottom="0.20833333333333334" header="0" footer="0.40625"/>
  <pageSetup paperSize="0" orientation="portrait" blackAndWhite="1" useFirstPageNumber="1"/>
  <headerFooter>
    <oddFooter>&amp;C&amp;P</oddFooter>
  </headerFooter>
  <rowBreaks count="1" manualBreakCount="1">
    <brk id="33" max="15"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
  <sheetViews>
    <sheetView workbookViewId="0"/>
  </sheetViews>
  <sheetFormatPr defaultColWidth="10" defaultRowHeight="15" customHeight="1" x14ac:dyDescent="0.15"/>
  <cols>
    <col min="1" max="1" width="6.6640625" style="51" customWidth="1"/>
    <col min="2" max="2" width="50" style="51" customWidth="1"/>
    <col min="3" max="3" width="11.6640625" style="51" customWidth="1"/>
    <col min="4" max="4" width="28.33203125" style="51" customWidth="1"/>
    <col min="5" max="6" width="10" style="51" hidden="1" customWidth="1"/>
    <col min="7" max="7" width="10" style="51" customWidth="1"/>
    <col min="8" max="8" width="22.5" style="51" customWidth="1"/>
    <col min="9" max="10" width="10" style="51" customWidth="1"/>
    <col min="11" max="16384" width="10" style="51"/>
  </cols>
  <sheetData>
    <row r="1" spans="1:8" ht="26.25" customHeight="1" x14ac:dyDescent="0.15">
      <c r="A1" s="258" t="s">
        <v>692</v>
      </c>
      <c r="B1" s="252"/>
      <c r="C1" s="252"/>
      <c r="D1" s="252"/>
      <c r="E1" s="252"/>
      <c r="F1" s="252"/>
      <c r="G1" s="252"/>
      <c r="H1" s="252"/>
    </row>
    <row r="2" spans="1:8" ht="45.7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52"/>
      <c r="C2" s="252"/>
      <c r="D2" s="252"/>
      <c r="E2" s="252"/>
      <c r="F2" s="252"/>
      <c r="G2" s="252"/>
      <c r="H2" s="252"/>
    </row>
    <row r="3" spans="1:8" ht="37.5" customHeight="1" x14ac:dyDescent="0.15">
      <c r="A3" s="262" t="str">
        <f>'Công trình'!F6</f>
        <v>THÍ NGHIỆM SIÊU ÂM KIỂM TRA CHẤT LƯỢNG CỌC KHOAN ĐẠI TRÀ</v>
      </c>
      <c r="B3" s="252"/>
      <c r="C3" s="252"/>
      <c r="D3" s="252"/>
      <c r="E3" s="252"/>
      <c r="F3" s="252"/>
      <c r="G3" s="252"/>
      <c r="H3" s="252"/>
    </row>
    <row r="4" spans="1:8" ht="30" customHeight="1" x14ac:dyDescent="0.15">
      <c r="A4" s="214" t="s">
        <v>4</v>
      </c>
      <c r="B4" s="214" t="s">
        <v>693</v>
      </c>
      <c r="C4" s="214" t="s">
        <v>158</v>
      </c>
      <c r="D4" s="214" t="s">
        <v>694</v>
      </c>
      <c r="E4" s="214"/>
      <c r="F4" s="214"/>
      <c r="G4" s="214" t="s">
        <v>67</v>
      </c>
      <c r="H4" s="214" t="str">
        <f>"Giá trị
"&amp;'Công trình'!AM1</f>
        <v>Giá trị
(đ)</v>
      </c>
    </row>
    <row r="5" spans="1:8" ht="26.25" customHeight="1" x14ac:dyDescent="0.15">
      <c r="A5" s="258" t="str">
        <f>A1</f>
        <v>BẢNG HỆ SỐ CHI PHÍ XÂY DỰNG</v>
      </c>
      <c r="B5" s="252"/>
      <c r="C5" s="315"/>
      <c r="D5" s="315"/>
      <c r="E5" s="252"/>
      <c r="F5" s="252"/>
      <c r="G5" s="315"/>
      <c r="H5" s="252"/>
    </row>
    <row r="6" spans="1:8" ht="45.75" customHeight="1" x14ac:dyDescent="0.15">
      <c r="A6"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6" s="252"/>
      <c r="C6" s="315"/>
      <c r="D6" s="315"/>
      <c r="E6" s="252"/>
      <c r="F6" s="252"/>
      <c r="G6" s="315"/>
      <c r="H6" s="252"/>
    </row>
    <row r="7" spans="1:8" ht="37.5" customHeight="1" x14ac:dyDescent="0.15">
      <c r="A7" s="262" t="str">
        <f>'Công trình'!F11</f>
        <v>KHOAN KIỂM TRA XỬ LÝ ĐÁY CỌC KHOAN NHỒI ĐẠI TRÀ</v>
      </c>
      <c r="B7" s="252"/>
      <c r="C7" s="315"/>
      <c r="D7" s="315"/>
      <c r="E7" s="252"/>
      <c r="F7" s="252"/>
      <c r="G7" s="315"/>
      <c r="H7" s="252"/>
    </row>
    <row r="8" spans="1:8" ht="30" customHeight="1" x14ac:dyDescent="0.15">
      <c r="A8" s="214" t="str">
        <f t="shared" ref="A8:H8" si="0">A4</f>
        <v>STT</v>
      </c>
      <c r="B8" s="214" t="str">
        <f t="shared" si="0"/>
        <v>Nội dung chi phí</v>
      </c>
      <c r="C8" s="214" t="str">
        <f t="shared" si="0"/>
        <v>Ký hiệu</v>
      </c>
      <c r="D8" s="214" t="str">
        <f t="shared" si="0"/>
        <v>Cách tính</v>
      </c>
      <c r="E8" s="214">
        <f t="shared" si="0"/>
        <v>0</v>
      </c>
      <c r="F8" s="214">
        <f t="shared" si="0"/>
        <v>0</v>
      </c>
      <c r="G8" s="214" t="str">
        <f t="shared" si="0"/>
        <v>Hệ số</v>
      </c>
      <c r="H8" s="214" t="str">
        <f t="shared" si="0"/>
        <v>Giá trị
(đ)</v>
      </c>
    </row>
  </sheetData>
  <mergeCells count="6">
    <mergeCell ref="A7:H7"/>
    <mergeCell ref="A1:H1"/>
    <mergeCell ref="A2:H2"/>
    <mergeCell ref="A3:H3"/>
    <mergeCell ref="A5:H5"/>
    <mergeCell ref="A6:H6"/>
  </mergeCells>
  <pageMargins left="1.2291666666666667" right="0" top="0.82291666666666663" bottom="0.20833333333333334" header="0" footer="0.40625"/>
  <pageSetup paperSize="0" orientation="landscape" blackAndWhite="1" useFirstPageNumber="1"/>
  <headerFooter>
    <oddFooter>&amp;C&amp;P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4:O10"/>
  <sheetViews>
    <sheetView workbookViewId="0"/>
  </sheetViews>
  <sheetFormatPr defaultColWidth="10" defaultRowHeight="15" customHeight="1" x14ac:dyDescent="0.15"/>
  <cols>
    <col min="1" max="1" width="5" style="51" customWidth="1"/>
    <col min="2" max="2" width="12.5" style="51" customWidth="1"/>
    <col min="3" max="3" width="29.1640625" style="51" customWidth="1"/>
    <col min="4" max="4" width="6.6640625" style="51" customWidth="1"/>
    <col min="5" max="9" width="10" style="51" customWidth="1"/>
    <col min="10" max="14" width="10.83203125" style="51" customWidth="1"/>
    <col min="15" max="15" width="12.5" style="51" customWidth="1"/>
    <col min="16" max="21" width="10" style="51" customWidth="1"/>
    <col min="22" max="16384" width="10" style="51"/>
  </cols>
  <sheetData>
    <row r="4" spans="1:15" ht="18.75" customHeight="1" x14ac:dyDescent="0.15">
      <c r="A4" s="316" t="s">
        <v>255</v>
      </c>
      <c r="B4" s="316" t="s">
        <v>64</v>
      </c>
      <c r="C4" s="316" t="s">
        <v>216</v>
      </c>
      <c r="D4" s="316" t="s">
        <v>66</v>
      </c>
      <c r="E4" s="316" t="str">
        <f>"Đơn giá "&amp;'Công trình'!AM1</f>
        <v>Đơn giá (đ)</v>
      </c>
      <c r="F4" s="316"/>
      <c r="G4" s="316"/>
      <c r="H4" s="316"/>
      <c r="I4" s="316"/>
      <c r="J4" s="316" t="str">
        <f>"Thành tiền "&amp;'Công trình'!AM1</f>
        <v>Thành tiền (đ)</v>
      </c>
      <c r="K4" s="316"/>
      <c r="L4" s="316"/>
      <c r="M4" s="316"/>
      <c r="N4" s="316"/>
      <c r="O4" s="316" t="str">
        <f>"Đơn giá
tổng hợp
"&amp;'Công trình'!AM1</f>
        <v>Đơn giá
tổng hợp
(đ)</v>
      </c>
    </row>
    <row r="5" spans="1:15" ht="18.75" customHeight="1" x14ac:dyDescent="0.15">
      <c r="A5" s="316"/>
      <c r="B5" s="316"/>
      <c r="C5" s="316"/>
      <c r="D5" s="316"/>
      <c r="E5" s="214" t="s">
        <v>28</v>
      </c>
      <c r="F5" s="214" t="s">
        <v>695</v>
      </c>
      <c r="G5" s="214" t="s">
        <v>680</v>
      </c>
      <c r="H5" s="214" t="s">
        <v>696</v>
      </c>
      <c r="I5" s="214" t="s">
        <v>682</v>
      </c>
      <c r="J5" s="214" t="s">
        <v>28</v>
      </c>
      <c r="K5" s="214" t="s">
        <v>695</v>
      </c>
      <c r="L5" s="214" t="s">
        <v>680</v>
      </c>
      <c r="M5" s="214" t="s">
        <v>696</v>
      </c>
      <c r="N5" s="214" t="s">
        <v>682</v>
      </c>
      <c r="O5" s="316"/>
    </row>
    <row r="6" spans="1:15" ht="15" customHeight="1" x14ac:dyDescent="0.15">
      <c r="A6" s="173"/>
      <c r="B6" s="173"/>
      <c r="D6" s="173"/>
    </row>
    <row r="7" spans="1:15" ht="15" customHeight="1" x14ac:dyDescent="0.15">
      <c r="A7" s="173"/>
      <c r="B7" s="173"/>
      <c r="D7" s="173"/>
    </row>
    <row r="8" spans="1:15" ht="15" customHeight="1" x14ac:dyDescent="0.15">
      <c r="A8" s="173"/>
      <c r="B8" s="173"/>
      <c r="D8" s="173"/>
    </row>
    <row r="9" spans="1:15" ht="18.75" customHeight="1" x14ac:dyDescent="0.15">
      <c r="A9" s="316" t="str">
        <f t="shared" ref="A9:O9" si="0">A4</f>
        <v>TT</v>
      </c>
      <c r="B9" s="316" t="str">
        <f t="shared" si="0"/>
        <v>Mã số</v>
      </c>
      <c r="C9" s="316" t="str">
        <f t="shared" si="0"/>
        <v>Thành phần hao phí</v>
      </c>
      <c r="D9" s="316" t="str">
        <f t="shared" si="0"/>
        <v>Đơn vị</v>
      </c>
      <c r="E9" s="316" t="str">
        <f t="shared" si="0"/>
        <v>Đơn giá (đ)</v>
      </c>
      <c r="F9" s="316">
        <f t="shared" si="0"/>
        <v>0</v>
      </c>
      <c r="G9" s="316">
        <f t="shared" si="0"/>
        <v>0</v>
      </c>
      <c r="H9" s="316">
        <f t="shared" si="0"/>
        <v>0</v>
      </c>
      <c r="I9" s="316">
        <f t="shared" si="0"/>
        <v>0</v>
      </c>
      <c r="J9" s="316" t="str">
        <f t="shared" si="0"/>
        <v>Thành tiền (đ)</v>
      </c>
      <c r="K9" s="316">
        <f t="shared" si="0"/>
        <v>0</v>
      </c>
      <c r="L9" s="316">
        <f t="shared" si="0"/>
        <v>0</v>
      </c>
      <c r="M9" s="316">
        <f t="shared" si="0"/>
        <v>0</v>
      </c>
      <c r="N9" s="316">
        <f t="shared" si="0"/>
        <v>0</v>
      </c>
      <c r="O9" s="316" t="str">
        <f t="shared" si="0"/>
        <v>Đơn giá
tổng hợp
(đ)</v>
      </c>
    </row>
    <row r="10" spans="1:15" ht="18.75" customHeight="1" x14ac:dyDescent="0.15">
      <c r="A10" s="316">
        <f t="shared" ref="A10:O10" si="1">A5</f>
        <v>0</v>
      </c>
      <c r="B10" s="316">
        <f t="shared" si="1"/>
        <v>0</v>
      </c>
      <c r="C10" s="316">
        <f t="shared" si="1"/>
        <v>0</v>
      </c>
      <c r="D10" s="316">
        <f t="shared" si="1"/>
        <v>0</v>
      </c>
      <c r="E10" s="214" t="str">
        <f t="shared" si="1"/>
        <v>Vật liệu</v>
      </c>
      <c r="F10" s="214" t="str">
        <f t="shared" si="1"/>
        <v>Bù V.L</v>
      </c>
      <c r="G10" s="214" t="str">
        <f t="shared" si="1"/>
        <v>NC XL</v>
      </c>
      <c r="H10" s="214" t="str">
        <f t="shared" si="1"/>
        <v>NC Đất</v>
      </c>
      <c r="I10" s="214" t="str">
        <f t="shared" si="1"/>
        <v>Ca máy</v>
      </c>
      <c r="J10" s="214" t="str">
        <f t="shared" si="1"/>
        <v>Vật liệu</v>
      </c>
      <c r="K10" s="214" t="str">
        <f t="shared" si="1"/>
        <v>Bù V.L</v>
      </c>
      <c r="L10" s="214" t="str">
        <f t="shared" si="1"/>
        <v>NC XL</v>
      </c>
      <c r="M10" s="214" t="str">
        <f t="shared" si="1"/>
        <v>NC Đất</v>
      </c>
      <c r="N10" s="214" t="str">
        <f t="shared" si="1"/>
        <v>Ca máy</v>
      </c>
      <c r="O10" s="316">
        <f t="shared" si="1"/>
        <v>0</v>
      </c>
    </row>
  </sheetData>
  <mergeCells count="14">
    <mergeCell ref="J4:N4"/>
    <mergeCell ref="O4:O5"/>
    <mergeCell ref="A9:A10"/>
    <mergeCell ref="B9:B10"/>
    <mergeCell ref="C9:C10"/>
    <mergeCell ref="D9:D10"/>
    <mergeCell ref="E9:I9"/>
    <mergeCell ref="J9:N9"/>
    <mergeCell ref="O9:O10"/>
    <mergeCell ref="A4:A5"/>
    <mergeCell ref="B4:B5"/>
    <mergeCell ref="C4:C5"/>
    <mergeCell ref="D4:D5"/>
    <mergeCell ref="E4:I4"/>
  </mergeCells>
  <pageMargins left="1.2291666666666667" right="0" top="0.82291666666666663" bottom="0.20833333333333334" header="0" footer="0.40625"/>
  <pageSetup paperSize="0" orientation="landscape" blackAndWhite="1" useFirstPageNumber="1"/>
  <headerFooter>
    <oddFooter>&amp;C&amp;P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6"/>
  <sheetViews>
    <sheetView workbookViewId="0"/>
  </sheetViews>
  <sheetFormatPr defaultColWidth="10" defaultRowHeight="15" customHeight="1" x14ac:dyDescent="0.15"/>
  <cols>
    <col min="1" max="1" width="6.5" style="46" customWidth="1"/>
    <col min="2" max="2" width="12.1640625" style="46" customWidth="1"/>
    <col min="3" max="3" width="43.33203125" style="46" customWidth="1"/>
    <col min="4" max="4" width="9.33203125" style="46" customWidth="1"/>
    <col min="5" max="5" width="13.33203125" style="46" customWidth="1"/>
    <col min="6" max="8" width="13.33203125" style="46" hidden="1" customWidth="1"/>
    <col min="9" max="10" width="14.1640625" style="46" customWidth="1"/>
    <col min="11" max="12" width="14.1640625" style="46" hidden="1" customWidth="1"/>
    <col min="13" max="13" width="10" style="46" hidden="1" customWidth="1"/>
    <col min="14" max="16" width="10" style="46" customWidth="1"/>
    <col min="17" max="16384" width="10" style="46"/>
  </cols>
  <sheetData>
    <row r="1" spans="1:13" ht="26.25" customHeight="1" x14ac:dyDescent="0.15">
      <c r="A1" s="258" t="s">
        <v>697</v>
      </c>
      <c r="B1" s="260"/>
      <c r="C1" s="260"/>
      <c r="D1" s="260"/>
      <c r="E1" s="260"/>
      <c r="F1" s="260"/>
      <c r="G1" s="260"/>
      <c r="H1" s="260"/>
      <c r="I1" s="260"/>
      <c r="J1" s="260"/>
      <c r="K1" s="260"/>
      <c r="L1" s="260"/>
    </row>
    <row r="2" spans="1:13" ht="59.2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60"/>
      <c r="C2" s="260"/>
      <c r="D2" s="260"/>
      <c r="E2" s="260"/>
      <c r="F2" s="260"/>
      <c r="G2" s="260"/>
      <c r="H2" s="260"/>
      <c r="I2" s="260"/>
      <c r="J2" s="260"/>
      <c r="K2" s="260"/>
      <c r="L2" s="260"/>
    </row>
    <row r="3" spans="1:13" ht="37.5" customHeight="1" x14ac:dyDescent="0.15">
      <c r="A3" s="262" t="str">
        <f>'Công trình'!F6</f>
        <v>THÍ NGHIỆM SIÊU ÂM KIỂM TRA CHẤT LƯỢNG CỌC KHOAN ĐẠI TRÀ</v>
      </c>
      <c r="B3" s="260"/>
      <c r="C3" s="260"/>
      <c r="D3" s="260"/>
      <c r="E3" s="260"/>
      <c r="F3" s="260"/>
      <c r="G3" s="260"/>
      <c r="H3" s="260"/>
      <c r="I3" s="260"/>
      <c r="J3" s="260"/>
      <c r="K3" s="260"/>
      <c r="L3" s="260"/>
    </row>
    <row r="4" spans="1:13" ht="30" customHeight="1" x14ac:dyDescent="0.15">
      <c r="A4" s="52" t="s">
        <v>4</v>
      </c>
      <c r="B4" s="19" t="s">
        <v>64</v>
      </c>
      <c r="C4" s="19" t="s">
        <v>219</v>
      </c>
      <c r="D4" s="19" t="s">
        <v>66</v>
      </c>
      <c r="E4" s="19" t="s">
        <v>17</v>
      </c>
      <c r="F4" s="19" t="str">
        <f>"Vật liệu
"&amp;'Công trình'!AM1</f>
        <v>Vật liệu
(đ)</v>
      </c>
      <c r="G4" s="19" t="str">
        <f>"Nhân công
"&amp;'Công trình'!AM1</f>
        <v>Nhân công
(đ)</v>
      </c>
      <c r="H4" s="19" t="str">
        <f>"Máy
"&amp;'Công trình'!AM1</f>
        <v>Máy
(đ)</v>
      </c>
      <c r="I4" s="19" t="str">
        <f>"Đơn giá
"&amp;'Công trình'!AM1</f>
        <v>Đơn giá
(đ)</v>
      </c>
      <c r="J4" s="19" t="str">
        <f>"Thành tiền
"&amp;'Công trình'!AM1</f>
        <v>Thành tiền
(đ)</v>
      </c>
      <c r="K4" s="19"/>
      <c r="L4" s="19"/>
    </row>
    <row r="5" spans="1:13" ht="40.5" customHeight="1" x14ac:dyDescent="0.15">
      <c r="A5" s="57">
        <f>'Công trình'!A7</f>
        <v>1</v>
      </c>
      <c r="B5" s="28" t="str">
        <f>'Công trình'!E7</f>
        <v>CE.12910</v>
      </c>
      <c r="C5" s="25" t="str">
        <f>'Công trình'!F7</f>
        <v>Thí nghiệm kiểm tra chất lượng cọc bê tông bằng phương pháp siêu âm</v>
      </c>
      <c r="D5" s="28" t="str">
        <f>'Công trình'!G7</f>
        <v>mặt cắt/lần TN</v>
      </c>
      <c r="E5" s="81">
        <f>'Công trình'!P7</f>
        <v>1008</v>
      </c>
      <c r="F5" s="82">
        <f>'Chiết tính'!H$6</f>
        <v>3512.712</v>
      </c>
      <c r="G5" s="82">
        <f>'Chiết tính'!H$11</f>
        <v>678340</v>
      </c>
      <c r="H5" s="82">
        <f>'Chiết tính'!H$15</f>
        <v>154550.68480000002</v>
      </c>
      <c r="I5" s="82">
        <f>'Chiết tính'!H$33</f>
        <v>1700129.2300808618</v>
      </c>
      <c r="J5" s="82">
        <f>E5*I5</f>
        <v>1713730263.9215088</v>
      </c>
      <c r="K5" s="25"/>
      <c r="L5" s="25"/>
      <c r="M5" s="76">
        <v>1</v>
      </c>
    </row>
    <row r="6" spans="1:13" ht="26.25" customHeight="1" x14ac:dyDescent="0.15">
      <c r="A6" s="109"/>
      <c r="B6" s="28"/>
      <c r="C6" s="54" t="s">
        <v>220</v>
      </c>
      <c r="D6" s="54"/>
      <c r="E6" s="129"/>
      <c r="F6" s="129"/>
      <c r="G6" s="129"/>
      <c r="H6" s="129"/>
      <c r="I6" s="129"/>
      <c r="J6" s="130">
        <f>ROUND(SUM(J5:J5),0)</f>
        <v>1713730264</v>
      </c>
      <c r="K6" s="129"/>
      <c r="L6" s="129"/>
    </row>
    <row r="7" spans="1:13" ht="30" customHeight="1" x14ac:dyDescent="0.15">
      <c r="A7" s="291" t="s">
        <v>698</v>
      </c>
      <c r="B7" s="255"/>
      <c r="C7" s="290"/>
      <c r="D7" s="255"/>
      <c r="E7" s="290"/>
      <c r="F7" s="290"/>
      <c r="G7" s="290"/>
      <c r="H7" s="290"/>
      <c r="I7" s="290"/>
      <c r="J7" s="285"/>
      <c r="K7" s="37"/>
      <c r="L7" s="37"/>
    </row>
    <row r="8" spans="1:13" ht="26.25" customHeight="1" x14ac:dyDescent="0.15">
      <c r="A8" s="258" t="str">
        <f>A1</f>
        <v>BẢNG ĐƠN GIÁ DỰ THẦU HẠNG MỤC CÔNG TRÌNH</v>
      </c>
      <c r="B8" s="259"/>
      <c r="C8" s="260"/>
      <c r="D8" s="259"/>
      <c r="E8" s="260"/>
      <c r="F8" s="260"/>
      <c r="G8" s="260"/>
      <c r="H8" s="260"/>
      <c r="I8" s="260"/>
      <c r="J8" s="260"/>
      <c r="K8" s="260"/>
      <c r="L8" s="260"/>
    </row>
    <row r="9" spans="1:13" ht="59.25" customHeight="1" x14ac:dyDescent="0.15">
      <c r="A9"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9" s="259"/>
      <c r="C9" s="260"/>
      <c r="D9" s="259"/>
      <c r="E9" s="260"/>
      <c r="F9" s="260"/>
      <c r="G9" s="260"/>
      <c r="H9" s="260"/>
      <c r="I9" s="260"/>
      <c r="J9" s="260"/>
      <c r="K9" s="260"/>
      <c r="L9" s="260"/>
    </row>
    <row r="10" spans="1:13" ht="37.5" customHeight="1" x14ac:dyDescent="0.15">
      <c r="A10" s="262" t="str">
        <f>'Công trình'!F11</f>
        <v>KHOAN KIỂM TRA XỬ LÝ ĐÁY CỌC KHOAN NHỒI ĐẠI TRÀ</v>
      </c>
      <c r="B10" s="259"/>
      <c r="C10" s="260"/>
      <c r="D10" s="259"/>
      <c r="E10" s="260"/>
      <c r="F10" s="260"/>
      <c r="G10" s="260"/>
      <c r="H10" s="260"/>
      <c r="I10" s="260"/>
      <c r="J10" s="260"/>
      <c r="K10" s="260"/>
      <c r="L10" s="260"/>
    </row>
    <row r="11" spans="1:13" ht="30" customHeight="1" x14ac:dyDescent="0.15">
      <c r="A11" s="52" t="str">
        <f t="shared" ref="A11:L11" si="0">A4</f>
        <v>STT</v>
      </c>
      <c r="B11" s="19" t="str">
        <f t="shared" si="0"/>
        <v>Mã số</v>
      </c>
      <c r="C11" s="19" t="str">
        <f t="shared" si="0"/>
        <v>Tên công tác</v>
      </c>
      <c r="D11" s="19" t="str">
        <f t="shared" si="0"/>
        <v>Đơn vị</v>
      </c>
      <c r="E11" s="19" t="str">
        <f t="shared" si="0"/>
        <v>Khối lượng</v>
      </c>
      <c r="F11" s="19" t="str">
        <f t="shared" si="0"/>
        <v>Vật liệu
(đ)</v>
      </c>
      <c r="G11" s="19" t="str">
        <f t="shared" si="0"/>
        <v>Nhân công
(đ)</v>
      </c>
      <c r="H11" s="19" t="str">
        <f t="shared" si="0"/>
        <v>Máy
(đ)</v>
      </c>
      <c r="I11" s="19" t="str">
        <f t="shared" si="0"/>
        <v>Đơn giá
(đ)</v>
      </c>
      <c r="J11" s="19" t="str">
        <f t="shared" si="0"/>
        <v>Thành tiền
(đ)</v>
      </c>
      <c r="K11" s="19">
        <f t="shared" si="0"/>
        <v>0</v>
      </c>
      <c r="L11" s="19">
        <f t="shared" si="0"/>
        <v>0</v>
      </c>
    </row>
    <row r="12" spans="1:13" ht="28.5" customHeight="1" x14ac:dyDescent="0.15">
      <c r="A12" s="57">
        <f>'Công trình'!A12</f>
        <v>1</v>
      </c>
      <c r="B12" s="28" t="str">
        <f>'Công trình'!E12</f>
        <v>AL.55120</v>
      </c>
      <c r="C12" s="25" t="str">
        <f>'Công trình'!F12</f>
        <v>Khoan kiểm tra, xử lý đáy cọc khoan nhồi, đường kính lỗ khoan &gt; 80mm</v>
      </c>
      <c r="D12" s="28" t="str">
        <f>'Công trình'!G12</f>
        <v>cọc</v>
      </c>
      <c r="E12" s="81">
        <f>'Công trình'!P12</f>
        <v>22</v>
      </c>
      <c r="F12" s="82">
        <f>'Chiết tính'!H$39</f>
        <v>55160.950000000004</v>
      </c>
      <c r="G12" s="82">
        <f>'Chiết tính'!H$43</f>
        <v>4336500</v>
      </c>
      <c r="H12" s="82">
        <f>'Chiết tính'!H$45</f>
        <v>2186539.5825</v>
      </c>
      <c r="I12" s="82">
        <f>'Chiết tính'!H$64</f>
        <v>12498402.956289258</v>
      </c>
      <c r="J12" s="82">
        <f>E12*I12</f>
        <v>274964865.0383637</v>
      </c>
      <c r="K12" s="25"/>
      <c r="L12" s="25"/>
      <c r="M12" s="76">
        <v>1</v>
      </c>
    </row>
    <row r="13" spans="1:13" ht="14.25" customHeight="1" x14ac:dyDescent="0.15">
      <c r="A13" s="109"/>
      <c r="B13" s="28"/>
      <c r="C13" s="54" t="s">
        <v>220</v>
      </c>
      <c r="D13" s="54"/>
      <c r="E13" s="129"/>
      <c r="F13" s="129"/>
      <c r="G13" s="129"/>
      <c r="H13" s="129"/>
      <c r="I13" s="129"/>
      <c r="J13" s="130">
        <f>ROUND(SUM(J12:J12),0)</f>
        <v>274964865</v>
      </c>
      <c r="K13" s="129"/>
      <c r="L13" s="129"/>
    </row>
    <row r="14" spans="1:13" ht="14.25" customHeight="1" x14ac:dyDescent="0.15">
      <c r="A14" s="109"/>
      <c r="B14" s="28"/>
      <c r="C14" s="54" t="s">
        <v>221</v>
      </c>
      <c r="D14" s="54"/>
      <c r="E14" s="129"/>
      <c r="F14" s="129"/>
      <c r="G14" s="129"/>
      <c r="H14" s="129"/>
      <c r="I14" s="129"/>
      <c r="J14" s="129"/>
      <c r="K14" s="129"/>
      <c r="L14" s="129"/>
    </row>
    <row r="15" spans="1:13" ht="14.25" customHeight="1" x14ac:dyDescent="0.15">
      <c r="A15" s="53"/>
      <c r="B15" s="54"/>
      <c r="C15" s="54" t="s">
        <v>222</v>
      </c>
      <c r="D15" s="54"/>
      <c r="E15" s="129"/>
      <c r="F15" s="129"/>
      <c r="G15" s="129"/>
      <c r="H15" s="129"/>
      <c r="I15" s="129"/>
      <c r="J15" s="130">
        <f>ROUND(J14,-3)</f>
        <v>0</v>
      </c>
      <c r="K15" s="25"/>
      <c r="L15" s="25"/>
    </row>
    <row r="16" spans="1:13" ht="30" customHeight="1" x14ac:dyDescent="0.15">
      <c r="A16" s="291" t="s">
        <v>297</v>
      </c>
      <c r="B16" s="255"/>
      <c r="C16" s="290"/>
      <c r="D16" s="255"/>
      <c r="E16" s="290"/>
      <c r="F16" s="290"/>
      <c r="G16" s="290"/>
      <c r="H16" s="290"/>
      <c r="I16" s="290"/>
      <c r="J16" s="285"/>
      <c r="K16" s="37"/>
      <c r="L16" s="37"/>
    </row>
  </sheetData>
  <mergeCells count="8">
    <mergeCell ref="A9:L9"/>
    <mergeCell ref="A10:L10"/>
    <mergeCell ref="A16:J16"/>
    <mergeCell ref="A1:L1"/>
    <mergeCell ref="A2:L2"/>
    <mergeCell ref="A3:L3"/>
    <mergeCell ref="A7:J7"/>
    <mergeCell ref="A8:L8"/>
  </mergeCells>
  <pageMargins left="1.2291666666666667" right="0" top="0.82291666666666663" bottom="0.20833333333333334" header="0" footer="0.40625"/>
  <pageSetup paperSize="0" orientation="portrait" blackAndWhite="1" useFirstPageNumber="1"/>
  <headerFooter>
    <oddFooter>&amp;C&amp;P</oddFooter>
  </headerFooter>
  <rowBreaks count="1" manualBreakCount="1">
    <brk id="7" max="15"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defaultColWidth="10" defaultRowHeight="15" customHeight="1" x14ac:dyDescent="0.15"/>
  <cols>
    <col min="1" max="8" width="10" style="51" customWidth="1"/>
    <col min="9"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6"/>
  <sheetViews>
    <sheetView workbookViewId="0"/>
  </sheetViews>
  <sheetFormatPr defaultColWidth="10" defaultRowHeight="15" customHeight="1" x14ac:dyDescent="0.15"/>
  <cols>
    <col min="1" max="1" width="8.33203125" style="46" customWidth="1"/>
    <col min="2" max="2" width="15" style="46" customWidth="1"/>
    <col min="3" max="3" width="18.33203125" style="46" customWidth="1"/>
    <col min="4" max="5" width="18.33203125" style="46" hidden="1" customWidth="1"/>
    <col min="6" max="7" width="13.33203125" style="46" customWidth="1"/>
    <col min="8" max="8" width="18.33203125" style="46" customWidth="1"/>
    <col min="9" max="9" width="20" style="46" customWidth="1"/>
    <col min="10" max="11" width="10" style="46" customWidth="1"/>
    <col min="12" max="16384" width="10" style="46"/>
  </cols>
  <sheetData>
    <row r="1" spans="1:9" ht="73.5" customHeight="1" x14ac:dyDescent="0.15">
      <c r="A1"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1" s="260"/>
      <c r="C1" s="260"/>
      <c r="D1" s="260"/>
      <c r="E1" s="260"/>
      <c r="F1" s="260"/>
      <c r="G1" s="260"/>
      <c r="H1" s="260"/>
      <c r="I1" s="260"/>
    </row>
    <row r="2" spans="1:9" ht="26.25" customHeight="1" x14ac:dyDescent="0.15">
      <c r="A2" s="258" t="s">
        <v>306</v>
      </c>
      <c r="B2" s="260"/>
      <c r="C2" s="260"/>
      <c r="D2" s="260"/>
      <c r="E2" s="260"/>
      <c r="F2" s="260"/>
      <c r="G2" s="260"/>
    </row>
    <row r="3" spans="1:9" ht="45" customHeight="1" x14ac:dyDescent="0.15">
      <c r="A3" s="166" t="s">
        <v>4</v>
      </c>
      <c r="B3" s="167" t="s">
        <v>307</v>
      </c>
      <c r="C3" s="167" t="s">
        <v>308</v>
      </c>
      <c r="D3" s="167"/>
      <c r="E3" s="167"/>
      <c r="F3" s="167" t="s">
        <v>309</v>
      </c>
      <c r="G3" s="167" t="s">
        <v>310</v>
      </c>
    </row>
    <row r="4" spans="1:9" ht="15" customHeight="1" x14ac:dyDescent="0.15">
      <c r="A4" s="23">
        <v>1</v>
      </c>
      <c r="B4" s="28" t="s">
        <v>311</v>
      </c>
      <c r="C4" s="168">
        <v>1.05</v>
      </c>
      <c r="D4" s="25"/>
      <c r="E4" s="25"/>
      <c r="F4" s="58">
        <f>IF(C4&lt;&gt;0,ROUND(C5/C4,5),0)</f>
        <v>1</v>
      </c>
      <c r="G4" s="305">
        <f>ROUND(SUM(F4:F8)/A8,5)</f>
        <v>1.00952</v>
      </c>
    </row>
    <row r="5" spans="1:9" ht="15" customHeight="1" x14ac:dyDescent="0.15">
      <c r="A5" s="23">
        <v>2</v>
      </c>
      <c r="B5" s="28" t="s">
        <v>312</v>
      </c>
      <c r="C5" s="168">
        <v>1.05</v>
      </c>
      <c r="D5" s="25"/>
      <c r="E5" s="25"/>
      <c r="F5" s="58">
        <f>IF(C5&lt;&gt;0,ROUND(C6/C5,5),0)</f>
        <v>1</v>
      </c>
      <c r="G5" s="306"/>
    </row>
    <row r="6" spans="1:9" ht="15" customHeight="1" x14ac:dyDescent="0.15">
      <c r="A6" s="23">
        <v>3</v>
      </c>
      <c r="B6" s="28" t="s">
        <v>313</v>
      </c>
      <c r="C6" s="168">
        <v>1.05</v>
      </c>
      <c r="D6" s="25"/>
      <c r="E6" s="25"/>
      <c r="F6" s="58">
        <f>IF(C6&lt;&gt;0,ROUND(C7/C6,5),0)</f>
        <v>1</v>
      </c>
      <c r="G6" s="306"/>
    </row>
    <row r="7" spans="1:9" ht="15" customHeight="1" x14ac:dyDescent="0.15">
      <c r="A7" s="23">
        <v>4</v>
      </c>
      <c r="B7" s="28" t="s">
        <v>314</v>
      </c>
      <c r="C7" s="168">
        <v>1.05</v>
      </c>
      <c r="D7" s="25"/>
      <c r="E7" s="25"/>
      <c r="F7" s="58">
        <f>IF(C7&lt;&gt;0,ROUND(C8/C7,5),0)</f>
        <v>1.04762</v>
      </c>
      <c r="G7" s="306"/>
    </row>
    <row r="8" spans="1:9" ht="15" customHeight="1" x14ac:dyDescent="0.15">
      <c r="A8" s="35">
        <v>5</v>
      </c>
      <c r="B8" s="62" t="s">
        <v>315</v>
      </c>
      <c r="C8" s="169">
        <v>1.1000000000000001</v>
      </c>
      <c r="D8" s="37"/>
      <c r="E8" s="37"/>
      <c r="F8" s="63">
        <v>1</v>
      </c>
      <c r="G8" s="307"/>
    </row>
    <row r="9" spans="1:9" ht="15" customHeight="1" x14ac:dyDescent="0.15">
      <c r="A9" s="260"/>
      <c r="B9" s="260"/>
      <c r="C9" s="260"/>
      <c r="D9" s="260"/>
      <c r="E9" s="260"/>
      <c r="F9" s="260"/>
      <c r="G9" s="260"/>
      <c r="H9" s="260"/>
      <c r="I9" s="260"/>
    </row>
    <row r="10" spans="1:9" ht="26.25" customHeight="1" x14ac:dyDescent="0.15">
      <c r="A10" s="258" t="s">
        <v>316</v>
      </c>
      <c r="B10" s="260"/>
      <c r="C10" s="260"/>
      <c r="D10" s="260"/>
      <c r="E10" s="260"/>
      <c r="F10" s="260"/>
      <c r="G10" s="260"/>
      <c r="H10" s="260"/>
      <c r="I10" s="260"/>
    </row>
    <row r="11" spans="1:9" ht="67.5" customHeight="1" x14ac:dyDescent="0.15">
      <c r="A11" s="300" t="s">
        <v>4</v>
      </c>
      <c r="B11" s="302" t="s">
        <v>317</v>
      </c>
      <c r="C11" s="167" t="s">
        <v>318</v>
      </c>
      <c r="D11" s="167" t="s">
        <v>319</v>
      </c>
      <c r="E11" s="167" t="s">
        <v>320</v>
      </c>
      <c r="F11" s="302" t="s">
        <v>310</v>
      </c>
      <c r="G11" s="302" t="s">
        <v>321</v>
      </c>
      <c r="H11" s="167" t="s">
        <v>322</v>
      </c>
      <c r="I11" s="167" t="s">
        <v>323</v>
      </c>
    </row>
    <row r="12" spans="1:9" ht="15" customHeight="1" x14ac:dyDescent="0.15">
      <c r="A12" s="301"/>
      <c r="B12" s="303"/>
      <c r="C12" s="170" t="str">
        <f>'Công trình'!AM1</f>
        <v>(đ)</v>
      </c>
      <c r="D12" s="170" t="str">
        <f>'Công trình'!AM1</f>
        <v>(đ)</v>
      </c>
      <c r="E12" s="170" t="str">
        <f>'Công trình'!AM1</f>
        <v>(đ)</v>
      </c>
      <c r="F12" s="303"/>
      <c r="G12" s="303"/>
      <c r="H12" s="170" t="str">
        <f>'Công trình'!AM1</f>
        <v>(đ)</v>
      </c>
      <c r="I12" s="170" t="str">
        <f>'Công trình'!AM1</f>
        <v>(đ)</v>
      </c>
    </row>
    <row r="13" spans="1:9" ht="15" customHeight="1" x14ac:dyDescent="0.15">
      <c r="A13" s="23">
        <v>1</v>
      </c>
      <c r="B13" s="28" t="s">
        <v>324</v>
      </c>
      <c r="C13" s="82">
        <v>0</v>
      </c>
      <c r="D13" s="82">
        <v>0</v>
      </c>
      <c r="E13" s="82">
        <f>C13-D13</f>
        <v>0</v>
      </c>
      <c r="F13" s="104">
        <f>G4</f>
        <v>1.00952</v>
      </c>
      <c r="G13" s="104">
        <v>0.05</v>
      </c>
      <c r="H13" s="82">
        <f>C13*((F13+G13)^A13-1)</f>
        <v>0</v>
      </c>
      <c r="I13" s="82">
        <f>H13</f>
        <v>0</v>
      </c>
    </row>
    <row r="14" spans="1:9" ht="15" customHeight="1" x14ac:dyDescent="0.15">
      <c r="A14" s="23">
        <v>2</v>
      </c>
      <c r="B14" s="28" t="s">
        <v>325</v>
      </c>
      <c r="C14" s="82">
        <v>0</v>
      </c>
      <c r="D14" s="82">
        <v>0</v>
      </c>
      <c r="E14" s="82">
        <f>C14-D14</f>
        <v>0</v>
      </c>
      <c r="F14" s="104">
        <f>G4</f>
        <v>1.00952</v>
      </c>
      <c r="G14" s="104">
        <v>0.05</v>
      </c>
      <c r="H14" s="82">
        <f>C14*((F14+G14)^A14-1)</f>
        <v>0</v>
      </c>
      <c r="I14" s="82">
        <f>H14+I13</f>
        <v>0</v>
      </c>
    </row>
    <row r="15" spans="1:9" ht="15" customHeight="1" x14ac:dyDescent="0.15">
      <c r="A15" s="23">
        <v>3</v>
      </c>
      <c r="B15" s="28" t="s">
        <v>326</v>
      </c>
      <c r="C15" s="82">
        <f>'Dự toán gói thầu'!G15-SUM(C13:C14)</f>
        <v>0</v>
      </c>
      <c r="D15" s="82">
        <v>0</v>
      </c>
      <c r="E15" s="82">
        <f>C15-D15</f>
        <v>0</v>
      </c>
      <c r="F15" s="104">
        <f>G4</f>
        <v>1.00952</v>
      </c>
      <c r="G15" s="104">
        <v>0.05</v>
      </c>
      <c r="H15" s="82">
        <f>C15*((F15+G15)^A15-1)</f>
        <v>0</v>
      </c>
      <c r="I15" s="82">
        <f>H15+I14</f>
        <v>0</v>
      </c>
    </row>
    <row r="16" spans="1:9" ht="22.5" customHeight="1" x14ac:dyDescent="0.2">
      <c r="A16" s="304" t="s">
        <v>296</v>
      </c>
      <c r="B16" s="285"/>
      <c r="C16" s="171">
        <f>SUM(C13:C15)</f>
        <v>0</v>
      </c>
      <c r="D16" s="171">
        <f>SUM(D13:D15)</f>
        <v>0</v>
      </c>
      <c r="E16" s="171">
        <f>SUM(E13:E15)</f>
        <v>0</v>
      </c>
      <c r="F16" s="37"/>
      <c r="G16" s="37"/>
      <c r="H16" s="299">
        <f>I15</f>
        <v>0</v>
      </c>
      <c r="I16" s="285"/>
    </row>
  </sheetData>
  <mergeCells count="11">
    <mergeCell ref="A1:I1"/>
    <mergeCell ref="A2:G2"/>
    <mergeCell ref="G4:G8"/>
    <mergeCell ref="A9:I9"/>
    <mergeCell ref="A10:I10"/>
    <mergeCell ref="H16:I16"/>
    <mergeCell ref="A11:A12"/>
    <mergeCell ref="B11:B12"/>
    <mergeCell ref="F11:F12"/>
    <mergeCell ref="G11:G12"/>
    <mergeCell ref="A16:B16"/>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8"/>
  <sheetViews>
    <sheetView workbookViewId="0"/>
  </sheetViews>
  <sheetFormatPr defaultColWidth="10" defaultRowHeight="15" customHeight="1" x14ac:dyDescent="0.15"/>
  <cols>
    <col min="1" max="1" width="8.33203125" style="46" customWidth="1"/>
    <col min="2" max="2" width="80.83203125" style="46" customWidth="1"/>
    <col min="3" max="5" width="20" style="46" customWidth="1"/>
    <col min="6" max="6" width="11.6640625" style="46" customWidth="1"/>
    <col min="7" max="7" width="20" style="46" customWidth="1"/>
    <col min="8" max="8" width="80.83203125" style="46" customWidth="1"/>
    <col min="9" max="9" width="10" style="46" customWidth="1"/>
    <col min="10" max="16384" width="10" style="46"/>
  </cols>
  <sheetData>
    <row r="1" spans="1:8" ht="26.25" customHeight="1" x14ac:dyDescent="0.15">
      <c r="A1" s="258" t="s">
        <v>699</v>
      </c>
      <c r="B1" s="260"/>
      <c r="C1" s="260"/>
      <c r="D1" s="260"/>
      <c r="E1" s="260"/>
      <c r="F1" s="260"/>
    </row>
    <row r="2" spans="1:8" ht="18.75" customHeight="1" x14ac:dyDescent="0.15">
      <c r="A2" s="251" t="s">
        <v>700</v>
      </c>
      <c r="B2" s="260"/>
      <c r="C2" s="260"/>
      <c r="D2" s="260"/>
      <c r="E2" s="260"/>
      <c r="F2" s="260"/>
    </row>
    <row r="3" spans="1:8" ht="45.75" customHeight="1" x14ac:dyDescent="0.15">
      <c r="A3" s="251" t="s">
        <v>701</v>
      </c>
      <c r="B3" s="260"/>
      <c r="C3" s="260"/>
      <c r="D3" s="260"/>
      <c r="E3" s="260"/>
      <c r="F3" s="260"/>
    </row>
    <row r="4" spans="1:8" ht="18.75" customHeight="1" x14ac:dyDescent="0.15">
      <c r="A4" s="251" t="s">
        <v>702</v>
      </c>
      <c r="B4" s="260"/>
      <c r="C4" s="260"/>
      <c r="D4" s="260"/>
      <c r="E4" s="260"/>
      <c r="F4" s="260"/>
    </row>
    <row r="5" spans="1:8" ht="18.75" customHeight="1" x14ac:dyDescent="0.15">
      <c r="A5" s="251" t="s">
        <v>703</v>
      </c>
      <c r="B5" s="260"/>
      <c r="C5" s="260"/>
      <c r="D5" s="260"/>
      <c r="E5" s="260"/>
      <c r="F5" s="260"/>
    </row>
    <row r="6" spans="1:8" ht="22.5" customHeight="1" x14ac:dyDescent="0.25">
      <c r="A6" s="287" t="str">
        <f>"Đơn vị tính: "&amp;'Công trình'!AM1</f>
        <v>Đơn vị tính: (đ)</v>
      </c>
      <c r="B6" s="260"/>
      <c r="C6" s="260"/>
      <c r="D6" s="260"/>
      <c r="E6" s="260"/>
      <c r="F6" s="260"/>
    </row>
    <row r="7" spans="1:8" ht="37.5" customHeight="1" x14ac:dyDescent="0.15">
      <c r="A7" s="166" t="s">
        <v>4</v>
      </c>
      <c r="B7" s="167" t="s">
        <v>704</v>
      </c>
      <c r="C7" s="167" t="s">
        <v>705</v>
      </c>
      <c r="D7" s="167" t="s">
        <v>706</v>
      </c>
      <c r="E7" s="167" t="s">
        <v>707</v>
      </c>
      <c r="F7" s="167" t="s">
        <v>229</v>
      </c>
      <c r="H7" s="214" t="s">
        <v>708</v>
      </c>
    </row>
    <row r="8" spans="1:8" ht="22.5" customHeight="1" x14ac:dyDescent="0.15">
      <c r="A8" s="166" t="s">
        <v>709</v>
      </c>
      <c r="B8" s="170" t="s">
        <v>710</v>
      </c>
      <c r="C8" s="170" t="s">
        <v>711</v>
      </c>
      <c r="D8" s="170" t="s">
        <v>712</v>
      </c>
      <c r="E8" s="170" t="s">
        <v>713</v>
      </c>
      <c r="F8" s="170" t="s">
        <v>714</v>
      </c>
    </row>
    <row r="9" spans="1:8" ht="15.75" customHeight="1" x14ac:dyDescent="0.15">
      <c r="A9" s="135" t="s">
        <v>233</v>
      </c>
      <c r="B9" s="89" t="s">
        <v>715</v>
      </c>
      <c r="C9" s="93"/>
      <c r="D9" s="93"/>
      <c r="E9" s="93"/>
      <c r="F9" s="88" t="s">
        <v>716</v>
      </c>
    </row>
    <row r="10" spans="1:8" ht="15.75" hidden="1" customHeight="1" x14ac:dyDescent="0.15">
      <c r="A10" s="107" t="s">
        <v>717</v>
      </c>
      <c r="B10" s="89" t="s">
        <v>718</v>
      </c>
      <c r="C10" s="93"/>
      <c r="D10" s="93"/>
      <c r="E10" s="93"/>
      <c r="F10" s="88" t="s">
        <v>719</v>
      </c>
    </row>
    <row r="11" spans="1:8" ht="15.75" hidden="1" customHeight="1" x14ac:dyDescent="0.15">
      <c r="A11" s="107" t="s">
        <v>717</v>
      </c>
      <c r="B11" s="89" t="s">
        <v>720</v>
      </c>
      <c r="C11" s="93"/>
      <c r="D11" s="93"/>
      <c r="E11" s="93"/>
      <c r="F11" s="88" t="s">
        <v>721</v>
      </c>
    </row>
    <row r="12" spans="1:8" ht="27.75" customHeight="1" x14ac:dyDescent="0.15">
      <c r="A12" s="135" t="s">
        <v>239</v>
      </c>
      <c r="B12" s="89" t="s">
        <v>722</v>
      </c>
      <c r="C12" s="93"/>
      <c r="D12" s="93"/>
      <c r="E12" s="93"/>
      <c r="F12" s="88" t="s">
        <v>723</v>
      </c>
      <c r="H12" s="46" t="s">
        <v>724</v>
      </c>
    </row>
    <row r="13" spans="1:8" ht="15.75" customHeight="1" x14ac:dyDescent="0.15">
      <c r="A13" s="135" t="s">
        <v>243</v>
      </c>
      <c r="B13" s="89" t="s">
        <v>725</v>
      </c>
      <c r="C13" s="93">
        <f>ROUND(E13/(1+HSXL!D17),0)</f>
        <v>0</v>
      </c>
      <c r="D13" s="93">
        <f>E13-C13</f>
        <v>0</v>
      </c>
      <c r="E13" s="93">
        <f>ROUND(E14+E15,0)</f>
        <v>0</v>
      </c>
      <c r="F13" s="88" t="s">
        <v>726</v>
      </c>
    </row>
    <row r="14" spans="1:8" ht="27.75" customHeight="1" x14ac:dyDescent="0.15">
      <c r="A14" s="109" t="s">
        <v>727</v>
      </c>
      <c r="B14" s="25" t="str">
        <f>"Chi phí dự phòng cho yếu tố khối lượng phát sinh [ 0% x ("&amp;A9&amp;"+"&amp;A12&amp;") ]"</f>
        <v>Chi phí dự phòng cho yếu tố khối lượng phát sinh [ 0% x (1+2) ]</v>
      </c>
      <c r="C14" s="82"/>
      <c r="D14" s="82"/>
      <c r="E14" s="82">
        <f>ROUND(0%*(E9+E12),0)</f>
        <v>0</v>
      </c>
      <c r="F14" s="28" t="s">
        <v>728</v>
      </c>
      <c r="H14" s="46" t="s">
        <v>634</v>
      </c>
    </row>
    <row r="15" spans="1:8" ht="15.75" customHeight="1" x14ac:dyDescent="0.15">
      <c r="A15" s="109" t="s">
        <v>729</v>
      </c>
      <c r="B15" s="25" t="s">
        <v>636</v>
      </c>
      <c r="C15" s="82"/>
      <c r="D15" s="82"/>
      <c r="E15" s="82">
        <f>'Dự phòng thầu'!H16</f>
        <v>0</v>
      </c>
      <c r="F15" s="28" t="s">
        <v>730</v>
      </c>
      <c r="G15" s="224">
        <f>ROUND(E9+E12,0)</f>
        <v>0</v>
      </c>
      <c r="H15" s="46" t="s">
        <v>731</v>
      </c>
    </row>
    <row r="16" spans="1:8" ht="15.75" customHeight="1" x14ac:dyDescent="0.15">
      <c r="A16" s="142"/>
      <c r="B16" s="143" t="str">
        <f>"TỔNG CỘNG   "&amp;A9&amp;" + "&amp;A12&amp;" + "&amp;A13</f>
        <v>TỔNG CỘNG   1 + 2 + 3</v>
      </c>
      <c r="C16" s="146">
        <f>ROUND(C9+C12+C13,0)</f>
        <v>0</v>
      </c>
      <c r="D16" s="146">
        <f>ROUND(D9+D12+D13,0)</f>
        <v>0</v>
      </c>
      <c r="E16" s="146">
        <f>ROUND(E9+E12+E13,0)</f>
        <v>0</v>
      </c>
      <c r="F16" s="143" t="s">
        <v>732</v>
      </c>
    </row>
    <row r="17" spans="1:6" ht="22.5" customHeight="1" x14ac:dyDescent="0.15">
      <c r="A17" s="225"/>
      <c r="B17" s="219" t="s">
        <v>222</v>
      </c>
      <c r="C17" s="222"/>
      <c r="D17" s="222"/>
      <c r="E17" s="222">
        <f>ROUND(E16,-3)</f>
        <v>0</v>
      </c>
      <c r="F17" s="219"/>
    </row>
    <row r="18" spans="1:6" ht="30" customHeight="1" x14ac:dyDescent="0.15">
      <c r="A18" s="286" t="s">
        <v>297</v>
      </c>
      <c r="B18" s="260"/>
      <c r="C18" s="260"/>
      <c r="D18" s="260"/>
      <c r="E18" s="260"/>
      <c r="F18" s="260"/>
    </row>
  </sheetData>
  <mergeCells count="7">
    <mergeCell ref="A6:F6"/>
    <mergeCell ref="A18:F18"/>
    <mergeCell ref="A1:F1"/>
    <mergeCell ref="A2:F2"/>
    <mergeCell ref="A3:F3"/>
    <mergeCell ref="A4:F4"/>
    <mergeCell ref="A5:F5"/>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
  <sheetViews>
    <sheetView workbookViewId="0"/>
  </sheetViews>
  <sheetFormatPr defaultColWidth="10" defaultRowHeight="15" customHeight="1" x14ac:dyDescent="0.15"/>
  <cols>
    <col min="1" max="12" width="10" style="51" customWidth="1"/>
    <col min="1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57"/>
  <sheetViews>
    <sheetView workbookViewId="0">
      <selection activeCell="B12" sqref="B12"/>
    </sheetView>
  </sheetViews>
  <sheetFormatPr defaultColWidth="10" defaultRowHeight="15" customHeight="1" x14ac:dyDescent="0.15"/>
  <cols>
    <col min="1" max="1" width="9" style="51" customWidth="1"/>
    <col min="2" max="3" width="6.83203125" style="51" customWidth="1"/>
    <col min="4" max="4" width="8.6640625" style="51" customWidth="1"/>
    <col min="5" max="6" width="10.1640625" style="51" customWidth="1"/>
    <col min="7" max="14" width="8.6640625" style="51" customWidth="1"/>
    <col min="15" max="19" width="9" style="51" customWidth="1"/>
    <col min="20" max="26" width="10" style="51" customWidth="1"/>
    <col min="27" max="16384" width="10" style="51"/>
  </cols>
  <sheetData>
    <row r="1" spans="1:19" ht="18.75" customHeight="1" x14ac:dyDescent="0.2">
      <c r="A1" s="226"/>
      <c r="B1" s="333" t="s">
        <v>247</v>
      </c>
      <c r="C1" s="334"/>
      <c r="D1" s="334"/>
      <c r="E1" s="334"/>
      <c r="F1" s="334"/>
      <c r="G1" s="334"/>
      <c r="H1" s="336" t="s">
        <v>733</v>
      </c>
      <c r="I1" s="336"/>
      <c r="J1" s="336"/>
      <c r="K1" s="336"/>
      <c r="L1" s="336"/>
      <c r="M1" s="336"/>
      <c r="N1" s="336"/>
      <c r="O1" s="336"/>
      <c r="P1" s="336"/>
      <c r="Q1" s="336"/>
      <c r="R1" s="227"/>
      <c r="S1" s="228"/>
    </row>
    <row r="2" spans="1:19" ht="15" customHeight="1" x14ac:dyDescent="0.2">
      <c r="A2" s="229"/>
      <c r="B2" s="335"/>
      <c r="C2" s="335"/>
      <c r="D2" s="335"/>
      <c r="E2" s="335"/>
      <c r="F2" s="335"/>
      <c r="G2" s="335"/>
      <c r="H2" s="337" t="s">
        <v>734</v>
      </c>
      <c r="I2" s="337"/>
      <c r="J2" s="337"/>
      <c r="K2" s="337"/>
      <c r="L2" s="337"/>
      <c r="M2" s="337"/>
      <c r="N2" s="337"/>
      <c r="O2" s="337"/>
      <c r="P2" s="337"/>
      <c r="Q2" s="337"/>
      <c r="R2" s="230"/>
      <c r="S2" s="231"/>
    </row>
    <row r="3" spans="1:19" ht="15" customHeight="1" x14ac:dyDescent="0.2">
      <c r="A3" s="229"/>
      <c r="B3" s="335"/>
      <c r="C3" s="335"/>
      <c r="D3" s="335"/>
      <c r="E3" s="335"/>
      <c r="F3" s="335"/>
      <c r="G3" s="335"/>
      <c r="H3" s="338" t="s">
        <v>735</v>
      </c>
      <c r="I3" s="338"/>
      <c r="J3" s="338"/>
      <c r="K3" s="338"/>
      <c r="L3" s="338"/>
      <c r="M3" s="338"/>
      <c r="N3" s="338"/>
      <c r="O3" s="338"/>
      <c r="P3" s="338"/>
      <c r="Q3" s="338"/>
      <c r="R3" s="230"/>
      <c r="S3" s="231"/>
    </row>
    <row r="4" spans="1:19" ht="15" customHeight="1" x14ac:dyDescent="0.2">
      <c r="A4" s="229"/>
      <c r="B4" s="335"/>
      <c r="C4" s="335"/>
      <c r="D4" s="335"/>
      <c r="E4" s="335"/>
      <c r="F4" s="335"/>
      <c r="G4" s="335"/>
      <c r="H4" s="230"/>
      <c r="I4" s="230"/>
      <c r="J4" s="230"/>
      <c r="K4" s="230"/>
      <c r="L4" s="230"/>
      <c r="M4" s="230"/>
      <c r="N4" s="230"/>
      <c r="O4" s="230"/>
      <c r="P4" s="230"/>
      <c r="Q4" s="230"/>
      <c r="R4" s="230"/>
      <c r="S4" s="231"/>
    </row>
    <row r="5" spans="1:19" ht="15" customHeight="1" x14ac:dyDescent="0.2">
      <c r="A5" s="229"/>
      <c r="B5" s="335"/>
      <c r="C5" s="335"/>
      <c r="D5" s="335"/>
      <c r="E5" s="335"/>
      <c r="F5" s="335"/>
      <c r="G5" s="335"/>
      <c r="H5" s="230"/>
      <c r="I5" s="230"/>
      <c r="J5" s="230"/>
      <c r="K5" s="230"/>
      <c r="L5" s="230"/>
      <c r="M5" s="230"/>
      <c r="N5" s="230"/>
      <c r="O5" s="230"/>
      <c r="P5" s="230"/>
      <c r="Q5" s="230"/>
      <c r="R5" s="230"/>
      <c r="S5" s="231"/>
    </row>
    <row r="6" spans="1:19" ht="15" customHeight="1" x14ac:dyDescent="0.2">
      <c r="A6" s="229"/>
      <c r="B6" s="230"/>
      <c r="C6" s="230"/>
      <c r="D6" s="230"/>
      <c r="E6" s="230"/>
      <c r="F6" s="230"/>
      <c r="G6" s="230"/>
      <c r="H6" s="230"/>
      <c r="I6" s="230"/>
      <c r="J6" s="230"/>
      <c r="K6" s="230"/>
      <c r="L6" s="230"/>
      <c r="M6" s="230"/>
      <c r="N6" s="230"/>
      <c r="O6" s="230"/>
      <c r="P6" s="230"/>
      <c r="Q6" s="230"/>
      <c r="R6" s="230"/>
      <c r="S6" s="231"/>
    </row>
    <row r="7" spans="1:19" ht="15" customHeight="1" x14ac:dyDescent="0.2">
      <c r="A7" s="229"/>
      <c r="B7" s="230"/>
      <c r="C7" s="230"/>
      <c r="D7" s="230"/>
      <c r="E7" s="230"/>
      <c r="F7" s="230"/>
      <c r="G7" s="230"/>
      <c r="H7" s="230"/>
      <c r="I7" s="230"/>
      <c r="J7" s="230"/>
      <c r="K7" s="230"/>
      <c r="L7" s="230"/>
      <c r="M7" s="230"/>
      <c r="N7" s="230"/>
      <c r="O7" s="230"/>
      <c r="P7" s="230"/>
      <c r="Q7" s="230"/>
      <c r="R7" s="230"/>
      <c r="S7" s="231"/>
    </row>
    <row r="8" spans="1:19" ht="15" customHeight="1" x14ac:dyDescent="0.2">
      <c r="A8" s="229"/>
      <c r="B8" s="230"/>
      <c r="C8" s="230"/>
      <c r="D8" s="230"/>
      <c r="E8" s="230"/>
      <c r="F8" s="230"/>
      <c r="G8" s="230"/>
      <c r="H8" s="230"/>
      <c r="I8" s="230"/>
      <c r="J8" s="230"/>
      <c r="K8" s="230"/>
      <c r="L8" s="230"/>
      <c r="M8" s="230"/>
      <c r="N8" s="230"/>
      <c r="O8" s="230"/>
      <c r="P8" s="230"/>
      <c r="Q8" s="230"/>
      <c r="R8" s="230"/>
      <c r="S8" s="231"/>
    </row>
    <row r="9" spans="1:19" ht="15" customHeight="1" x14ac:dyDescent="0.2">
      <c r="A9" s="229"/>
      <c r="B9" s="230"/>
      <c r="C9" s="230"/>
      <c r="D9" s="230"/>
      <c r="E9" s="230"/>
      <c r="F9" s="230"/>
      <c r="G9" s="230"/>
      <c r="H9" s="230"/>
      <c r="I9" s="230"/>
      <c r="J9" s="230"/>
      <c r="K9" s="230"/>
      <c r="L9" s="230"/>
      <c r="M9" s="230"/>
      <c r="N9" s="230"/>
      <c r="O9" s="230"/>
      <c r="P9" s="230"/>
      <c r="Q9" s="230"/>
      <c r="R9" s="230"/>
      <c r="S9" s="231"/>
    </row>
    <row r="10" spans="1:19" ht="15" customHeight="1" x14ac:dyDescent="0.2">
      <c r="A10" s="229"/>
      <c r="B10" s="230"/>
      <c r="C10" s="230"/>
      <c r="D10" s="230"/>
      <c r="E10" s="230"/>
      <c r="F10" s="230"/>
      <c r="G10" s="230"/>
      <c r="H10" s="230"/>
      <c r="I10" s="230"/>
      <c r="J10" s="230"/>
      <c r="K10" s="230"/>
      <c r="L10" s="230"/>
      <c r="M10" s="230"/>
      <c r="N10" s="230"/>
      <c r="O10" s="230"/>
      <c r="P10" s="230"/>
      <c r="Q10" s="230"/>
      <c r="R10" s="230"/>
      <c r="S10" s="231"/>
    </row>
    <row r="11" spans="1:19" ht="15" customHeight="1" x14ac:dyDescent="0.2">
      <c r="A11" s="229"/>
      <c r="B11" s="230"/>
      <c r="C11" s="230"/>
      <c r="D11" s="230"/>
      <c r="E11" s="230"/>
      <c r="F11" s="230"/>
      <c r="G11" s="230"/>
      <c r="H11" s="230"/>
      <c r="I11" s="230"/>
      <c r="J11" s="230"/>
      <c r="K11" s="230"/>
      <c r="L11" s="230"/>
      <c r="M11" s="230"/>
      <c r="N11" s="230"/>
      <c r="O11" s="230"/>
      <c r="P11" s="230"/>
      <c r="Q11" s="230"/>
      <c r="R11" s="230"/>
      <c r="S11" s="231"/>
    </row>
    <row r="12" spans="1:19" ht="22.5" customHeight="1" x14ac:dyDescent="0.2">
      <c r="A12" s="229"/>
      <c r="B12" s="339" t="s">
        <v>736</v>
      </c>
      <c r="C12" s="339"/>
      <c r="D12" s="339"/>
      <c r="E12" s="339"/>
      <c r="F12" s="339"/>
      <c r="G12" s="339"/>
      <c r="H12" s="339"/>
      <c r="I12" s="339"/>
      <c r="J12" s="339"/>
      <c r="K12" s="339"/>
      <c r="L12" s="339"/>
      <c r="M12" s="339"/>
      <c r="N12" s="339"/>
      <c r="O12" s="339"/>
      <c r="P12" s="339"/>
      <c r="Q12" s="339"/>
      <c r="R12" s="339"/>
      <c r="S12" s="231"/>
    </row>
    <row r="13" spans="1:19" ht="15" customHeight="1" x14ac:dyDescent="0.2">
      <c r="A13" s="229"/>
      <c r="B13" s="230"/>
      <c r="C13" s="230"/>
      <c r="D13" s="230"/>
      <c r="E13" s="230"/>
      <c r="F13" s="230"/>
      <c r="G13" s="230"/>
      <c r="H13" s="230"/>
      <c r="I13" s="230"/>
      <c r="J13" s="230"/>
      <c r="K13" s="230"/>
      <c r="L13" s="230"/>
      <c r="M13" s="230"/>
      <c r="N13" s="230"/>
      <c r="O13" s="230"/>
      <c r="P13" s="230"/>
      <c r="Q13" s="230"/>
      <c r="R13" s="230"/>
      <c r="S13" s="231"/>
    </row>
    <row r="14" spans="1:19" ht="15" customHeight="1" x14ac:dyDescent="0.2">
      <c r="A14" s="229"/>
      <c r="B14" s="230"/>
      <c r="C14" s="230"/>
      <c r="D14" s="230"/>
      <c r="E14" s="230"/>
      <c r="F14" s="230"/>
      <c r="G14" s="230"/>
      <c r="H14" s="230"/>
      <c r="I14" s="230"/>
      <c r="J14" s="230"/>
      <c r="K14" s="230"/>
      <c r="L14" s="230"/>
      <c r="M14" s="230"/>
      <c r="N14" s="230"/>
      <c r="O14" s="230"/>
      <c r="P14" s="230"/>
      <c r="Q14" s="230"/>
      <c r="R14" s="230"/>
      <c r="S14" s="231"/>
    </row>
    <row r="15" spans="1:19" ht="15" customHeight="1" x14ac:dyDescent="0.2">
      <c r="A15" s="229"/>
      <c r="B15" s="230"/>
      <c r="C15" s="230"/>
      <c r="D15" s="230"/>
      <c r="E15" s="230"/>
      <c r="F15" s="230"/>
      <c r="G15" s="230"/>
      <c r="H15" s="230"/>
      <c r="I15" s="230"/>
      <c r="J15" s="230"/>
      <c r="K15" s="230"/>
      <c r="L15" s="230"/>
      <c r="M15" s="230"/>
      <c r="N15" s="230"/>
      <c r="O15" s="230"/>
      <c r="P15" s="230"/>
      <c r="Q15" s="230"/>
      <c r="R15" s="230"/>
      <c r="S15" s="231"/>
    </row>
    <row r="16" spans="1:19" ht="15" customHeight="1" x14ac:dyDescent="0.2">
      <c r="A16" s="229"/>
      <c r="B16" s="329" t="s">
        <v>737</v>
      </c>
      <c r="C16" s="329"/>
      <c r="D16" s="329"/>
      <c r="E16" s="330" t="str">
        <f>TRIM(MID('Công trình'!A2,13,202))</f>
        <v>XÂY DỰNG NHÀ Ở CHO LỰC LƯỢNG VŨ TRANG CÔNG AN NHÂN DÂN (NHÀ Ở XÃ HỘI CHO CÁN BỘ, CHIẾN SỸ CÔNG AN) TẠI CÁC Ô ĐẤT CE-ODK3 VÀ C3-ODK4 THUỘC QUY HOẠCH PHÂN KHU ĐÔ THỊ H2-4, PHƯỜNG YÊN SỞ, THÀNH PHỐ HÀ NỘI</v>
      </c>
      <c r="F16" s="330"/>
      <c r="G16" s="330"/>
      <c r="H16" s="330"/>
      <c r="I16" s="330"/>
      <c r="J16" s="330"/>
      <c r="K16" s="330"/>
      <c r="L16" s="330"/>
      <c r="M16" s="330"/>
      <c r="N16" s="330"/>
      <c r="O16" s="330"/>
      <c r="P16" s="330"/>
      <c r="Q16" s="330"/>
      <c r="R16" s="330"/>
      <c r="S16" s="331"/>
    </row>
    <row r="17" spans="1:19" ht="15" customHeight="1" x14ac:dyDescent="0.2">
      <c r="A17" s="229"/>
      <c r="B17" s="329" t="s">
        <v>738</v>
      </c>
      <c r="C17" s="329"/>
      <c r="D17" s="329"/>
      <c r="E17" s="330" t="str">
        <f>""</f>
        <v/>
      </c>
      <c r="F17" s="330"/>
      <c r="G17" s="330"/>
      <c r="H17" s="330"/>
      <c r="I17" s="330"/>
      <c r="J17" s="330"/>
      <c r="K17" s="330"/>
      <c r="L17" s="330"/>
      <c r="M17" s="330"/>
      <c r="N17" s="330"/>
      <c r="O17" s="330"/>
      <c r="P17" s="330"/>
      <c r="Q17" s="330"/>
      <c r="R17" s="330"/>
      <c r="S17" s="331"/>
    </row>
    <row r="18" spans="1:19" ht="15" customHeight="1" x14ac:dyDescent="0.2">
      <c r="A18" s="229"/>
      <c r="B18" s="329" t="s">
        <v>739</v>
      </c>
      <c r="C18" s="329"/>
      <c r="D18" s="329"/>
      <c r="E18" s="330" t="str">
        <f>""</f>
        <v/>
      </c>
      <c r="F18" s="330"/>
      <c r="G18" s="330"/>
      <c r="H18" s="330"/>
      <c r="I18" s="330"/>
      <c r="J18" s="330"/>
      <c r="K18" s="330"/>
      <c r="L18" s="330"/>
      <c r="M18" s="330"/>
      <c r="N18" s="330"/>
      <c r="O18" s="330"/>
      <c r="P18" s="330"/>
      <c r="Q18" s="330"/>
      <c r="R18" s="330"/>
      <c r="S18" s="331"/>
    </row>
    <row r="19" spans="1:19" ht="15" customHeight="1" x14ac:dyDescent="0.2">
      <c r="A19" s="229"/>
      <c r="B19" s="329" t="s">
        <v>740</v>
      </c>
      <c r="C19" s="329"/>
      <c r="D19" s="329"/>
      <c r="E19" s="330" t="str">
        <f>""</f>
        <v/>
      </c>
      <c r="F19" s="330"/>
      <c r="G19" s="330"/>
      <c r="H19" s="330"/>
      <c r="I19" s="330"/>
      <c r="J19" s="330"/>
      <c r="K19" s="330"/>
      <c r="L19" s="330"/>
      <c r="M19" s="330"/>
      <c r="N19" s="330"/>
      <c r="O19" s="330"/>
      <c r="P19" s="330"/>
      <c r="Q19" s="330"/>
      <c r="R19" s="330"/>
      <c r="S19" s="331"/>
    </row>
    <row r="20" spans="1:19" ht="15" customHeight="1" x14ac:dyDescent="0.2">
      <c r="A20" s="229"/>
      <c r="B20" s="329" t="s">
        <v>741</v>
      </c>
      <c r="C20" s="329"/>
      <c r="D20" s="329"/>
      <c r="E20" s="330" t="str">
        <f>""</f>
        <v/>
      </c>
      <c r="F20" s="330"/>
      <c r="G20" s="330"/>
      <c r="H20" s="330"/>
      <c r="I20" s="330"/>
      <c r="J20" s="330"/>
      <c r="K20" s="330"/>
      <c r="L20" s="330"/>
      <c r="M20" s="330"/>
      <c r="N20" s="330"/>
      <c r="O20" s="330"/>
      <c r="P20" s="330"/>
      <c r="Q20" s="330"/>
      <c r="R20" s="330"/>
      <c r="S20" s="331"/>
    </row>
    <row r="21" spans="1:19" ht="15" customHeight="1" x14ac:dyDescent="0.2">
      <c r="A21" s="229"/>
      <c r="B21" s="230"/>
      <c r="C21" s="230"/>
      <c r="D21" s="230"/>
      <c r="E21" s="230"/>
      <c r="F21" s="230"/>
      <c r="G21" s="230"/>
      <c r="H21" s="230"/>
      <c r="I21" s="230"/>
      <c r="J21" s="230"/>
      <c r="K21" s="230"/>
      <c r="L21" s="230"/>
      <c r="M21" s="230"/>
      <c r="N21" s="230"/>
      <c r="O21" s="230"/>
      <c r="P21" s="230"/>
      <c r="Q21" s="230"/>
      <c r="R21" s="230"/>
      <c r="S21" s="231"/>
    </row>
    <row r="22" spans="1:19" ht="15" customHeight="1" x14ac:dyDescent="0.2">
      <c r="A22" s="229"/>
      <c r="B22" s="230"/>
      <c r="C22" s="230"/>
      <c r="D22" s="230"/>
      <c r="E22" s="230"/>
      <c r="F22" s="230"/>
      <c r="G22" s="230"/>
      <c r="H22" s="230"/>
      <c r="I22" s="230"/>
      <c r="J22" s="230"/>
      <c r="K22" s="230"/>
      <c r="L22" s="230"/>
      <c r="M22" s="230"/>
      <c r="N22" s="230"/>
      <c r="O22" s="230"/>
      <c r="P22" s="230"/>
      <c r="Q22" s="230"/>
      <c r="R22" s="230"/>
      <c r="S22" s="231"/>
    </row>
    <row r="23" spans="1:19" ht="15" customHeight="1" x14ac:dyDescent="0.2">
      <c r="A23" s="229"/>
      <c r="B23" s="230"/>
      <c r="C23" s="230"/>
      <c r="D23" s="230"/>
      <c r="E23" s="230"/>
      <c r="F23" s="230"/>
      <c r="G23" s="230"/>
      <c r="H23" s="230"/>
      <c r="I23" s="230"/>
      <c r="J23" s="230"/>
      <c r="K23" s="230"/>
      <c r="L23" s="230"/>
      <c r="M23" s="230"/>
      <c r="N23" s="230"/>
      <c r="O23" s="230"/>
      <c r="P23" s="230"/>
      <c r="Q23" s="230"/>
      <c r="R23" s="230"/>
      <c r="S23" s="231"/>
    </row>
    <row r="24" spans="1:19" ht="15" customHeight="1" x14ac:dyDescent="0.2">
      <c r="A24" s="229"/>
      <c r="B24" s="230"/>
      <c r="C24" s="230"/>
      <c r="D24" s="230"/>
      <c r="E24" s="230"/>
      <c r="F24" s="230"/>
      <c r="G24" s="230"/>
      <c r="H24" s="230"/>
      <c r="I24" s="230"/>
      <c r="J24" s="230"/>
      <c r="K24" s="230"/>
      <c r="L24" s="230"/>
      <c r="M24" s="230"/>
      <c r="N24" s="230"/>
      <c r="O24" s="230"/>
      <c r="P24" s="230"/>
      <c r="Q24" s="230"/>
      <c r="R24" s="230"/>
      <c r="S24" s="231"/>
    </row>
    <row r="25" spans="1:19" ht="15" customHeight="1" x14ac:dyDescent="0.2">
      <c r="A25" s="229"/>
      <c r="B25" s="230"/>
      <c r="C25" s="230"/>
      <c r="D25" s="230"/>
      <c r="E25" s="230"/>
      <c r="F25" s="230"/>
      <c r="G25" s="230"/>
      <c r="H25" s="230"/>
      <c r="I25" s="230"/>
      <c r="J25" s="230"/>
      <c r="K25" s="230"/>
      <c r="L25" s="230"/>
      <c r="M25" s="230"/>
      <c r="N25" s="230"/>
      <c r="O25" s="230"/>
      <c r="P25" s="230"/>
      <c r="Q25" s="230"/>
      <c r="R25" s="230"/>
      <c r="S25" s="231"/>
    </row>
    <row r="26" spans="1:19" ht="15" customHeight="1" x14ac:dyDescent="0.2">
      <c r="A26" s="229"/>
      <c r="B26" s="230"/>
      <c r="C26" s="230"/>
      <c r="D26" s="230"/>
      <c r="E26" s="230"/>
      <c r="F26" s="230"/>
      <c r="G26" s="230"/>
      <c r="H26" s="230"/>
      <c r="I26" s="230"/>
      <c r="J26" s="230"/>
      <c r="K26" s="230"/>
      <c r="L26" s="230"/>
      <c r="M26" s="230"/>
      <c r="N26" s="230"/>
      <c r="O26" s="230"/>
      <c r="P26" s="230"/>
      <c r="Q26" s="230"/>
      <c r="R26" s="230"/>
      <c r="S26" s="231"/>
    </row>
    <row r="27" spans="1:19" ht="15" customHeight="1" x14ac:dyDescent="0.2">
      <c r="A27" s="229"/>
      <c r="B27" s="230"/>
      <c r="C27" s="230"/>
      <c r="D27" s="230"/>
      <c r="E27" s="230"/>
      <c r="F27" s="230"/>
      <c r="G27" s="230"/>
      <c r="H27" s="230"/>
      <c r="I27" s="230"/>
      <c r="J27" s="230"/>
      <c r="K27" s="230"/>
      <c r="L27" s="230"/>
      <c r="M27" s="230"/>
      <c r="N27" s="230"/>
      <c r="O27" s="230"/>
      <c r="P27" s="230"/>
      <c r="Q27" s="230"/>
      <c r="R27" s="230"/>
      <c r="S27" s="231"/>
    </row>
    <row r="28" spans="1:19" ht="15" customHeight="1" x14ac:dyDescent="0.2">
      <c r="A28" s="229"/>
      <c r="B28" s="230"/>
      <c r="C28" s="230"/>
      <c r="D28" s="230"/>
      <c r="E28" s="230"/>
      <c r="F28" s="230"/>
      <c r="G28" s="230"/>
      <c r="H28" s="230"/>
      <c r="I28" s="230"/>
      <c r="J28" s="230"/>
      <c r="K28" s="230"/>
      <c r="L28" s="230"/>
      <c r="M28" s="230"/>
      <c r="N28" s="230"/>
      <c r="O28" s="230"/>
      <c r="P28" s="230"/>
      <c r="Q28" s="230"/>
      <c r="R28" s="230"/>
      <c r="S28" s="231"/>
    </row>
    <row r="29" spans="1:19" ht="15" customHeight="1" x14ac:dyDescent="0.2">
      <c r="A29" s="229"/>
      <c r="B29" s="230"/>
      <c r="C29" s="230"/>
      <c r="D29" s="230"/>
      <c r="E29" s="230"/>
      <c r="F29" s="230"/>
      <c r="G29" s="230"/>
      <c r="H29" s="230"/>
      <c r="I29" s="230"/>
      <c r="J29" s="230"/>
      <c r="K29" s="230"/>
      <c r="L29" s="230"/>
      <c r="M29" s="230"/>
      <c r="N29" s="230"/>
      <c r="O29" s="230"/>
      <c r="P29" s="230"/>
      <c r="Q29" s="230"/>
      <c r="R29" s="230"/>
      <c r="S29" s="231"/>
    </row>
    <row r="30" spans="1:19" ht="15" customHeight="1" x14ac:dyDescent="0.2">
      <c r="A30" s="229"/>
      <c r="B30" s="332" t="s">
        <v>742</v>
      </c>
      <c r="C30" s="332"/>
      <c r="D30" s="332"/>
      <c r="E30" s="332"/>
      <c r="F30" s="332"/>
      <c r="G30" s="332"/>
      <c r="H30" s="332"/>
      <c r="I30" s="332"/>
      <c r="J30" s="332"/>
      <c r="K30" s="332"/>
      <c r="L30" s="332"/>
      <c r="M30" s="332"/>
      <c r="N30" s="332"/>
      <c r="O30" s="332"/>
      <c r="P30" s="332"/>
      <c r="Q30" s="332"/>
      <c r="R30" s="332"/>
      <c r="S30" s="231"/>
    </row>
    <row r="31" spans="1:19" ht="15.75" customHeight="1" x14ac:dyDescent="0.2">
      <c r="A31" s="232"/>
      <c r="B31" s="233"/>
      <c r="C31" s="233"/>
      <c r="D31" s="233"/>
      <c r="E31" s="233"/>
      <c r="F31" s="233"/>
      <c r="G31" s="233"/>
      <c r="H31" s="233"/>
      <c r="I31" s="233"/>
      <c r="J31" s="233"/>
      <c r="K31" s="233"/>
      <c r="L31" s="233"/>
      <c r="M31" s="233"/>
      <c r="N31" s="233"/>
      <c r="O31" s="233"/>
      <c r="P31" s="233"/>
      <c r="Q31" s="233"/>
      <c r="R31" s="233"/>
      <c r="S31" s="234"/>
    </row>
    <row r="32" spans="1:19" ht="20.25" customHeight="1" x14ac:dyDescent="0.15">
      <c r="A32" s="328" t="s">
        <v>743</v>
      </c>
      <c r="B32" s="328"/>
      <c r="C32" s="328"/>
      <c r="D32" s="328"/>
      <c r="E32" s="328"/>
      <c r="F32" s="328"/>
      <c r="G32" s="328"/>
      <c r="H32" s="328"/>
      <c r="I32" s="328"/>
      <c r="J32" s="328"/>
      <c r="K32" s="328"/>
      <c r="L32" s="328"/>
      <c r="M32" s="328"/>
      <c r="N32" s="328"/>
      <c r="O32" s="328"/>
      <c r="P32" s="328"/>
      <c r="Q32" s="328"/>
      <c r="R32" s="328"/>
      <c r="S32" s="328"/>
    </row>
    <row r="33" spans="1:19" ht="15" customHeight="1" x14ac:dyDescent="0.2">
      <c r="A33" s="317"/>
      <c r="B33" s="317"/>
      <c r="C33" s="317"/>
      <c r="D33" s="317"/>
      <c r="E33" s="317"/>
      <c r="F33" s="317"/>
      <c r="G33" s="317"/>
      <c r="H33" s="317"/>
      <c r="I33" s="317"/>
      <c r="J33" s="317"/>
      <c r="K33" s="317"/>
      <c r="L33" s="317"/>
      <c r="M33" s="317"/>
      <c r="N33" s="317"/>
      <c r="O33" s="317"/>
      <c r="P33" s="317"/>
      <c r="Q33" s="317"/>
      <c r="R33" s="317"/>
      <c r="S33" s="317"/>
    </row>
    <row r="34" spans="1:19" ht="15" customHeight="1" x14ac:dyDescent="0.2">
      <c r="A34" s="235"/>
      <c r="B34" s="327" t="s">
        <v>737</v>
      </c>
      <c r="C34" s="327"/>
      <c r="D34" s="327"/>
      <c r="E34" s="296" t="str">
        <f>TRIM(MID('Công trình'!A2,13,202))</f>
        <v>XÂY DỰNG NHÀ Ở CHO LỰC LƯỢNG VŨ TRANG CÔNG AN NHÂN DÂN (NHÀ Ở XÃ HỘI CHO CÁN BỘ, CHIẾN SỸ CÔNG AN) TẠI CÁC Ô ĐẤT CE-ODK3 VÀ C3-ODK4 THUỘC QUY HOẠCH PHÂN KHU ĐÔ THỊ H2-4, PHƯỜNG YÊN SỞ, THÀNH PHỐ HÀ NỘI</v>
      </c>
      <c r="F34" s="296"/>
      <c r="G34" s="296"/>
      <c r="H34" s="296"/>
      <c r="I34" s="296"/>
      <c r="J34" s="296"/>
      <c r="K34" s="296"/>
      <c r="L34" s="296"/>
      <c r="M34" s="296"/>
      <c r="N34" s="296"/>
      <c r="O34" s="296"/>
      <c r="P34" s="296"/>
      <c r="Q34" s="296"/>
      <c r="R34" s="296"/>
      <c r="S34" s="296"/>
    </row>
    <row r="35" spans="1:19" ht="15" customHeight="1" x14ac:dyDescent="0.2">
      <c r="A35" s="235"/>
      <c r="B35" s="327" t="s">
        <v>738</v>
      </c>
      <c r="C35" s="327"/>
      <c r="D35" s="327"/>
      <c r="E35" s="296" t="str">
        <f>""</f>
        <v/>
      </c>
      <c r="F35" s="296"/>
      <c r="G35" s="296"/>
      <c r="H35" s="296"/>
      <c r="I35" s="296"/>
      <c r="J35" s="296"/>
      <c r="K35" s="296"/>
      <c r="L35" s="296"/>
      <c r="M35" s="296"/>
      <c r="N35" s="296"/>
      <c r="O35" s="296"/>
      <c r="P35" s="296"/>
      <c r="Q35" s="296"/>
      <c r="R35" s="296"/>
      <c r="S35" s="296"/>
    </row>
    <row r="36" spans="1:19" ht="15" customHeight="1" x14ac:dyDescent="0.2">
      <c r="A36" s="235"/>
      <c r="B36" s="327" t="s">
        <v>739</v>
      </c>
      <c r="C36" s="327"/>
      <c r="D36" s="327"/>
      <c r="E36" s="296" t="str">
        <f>""</f>
        <v/>
      </c>
      <c r="F36" s="296"/>
      <c r="G36" s="296"/>
      <c r="H36" s="296"/>
      <c r="I36" s="296"/>
      <c r="J36" s="296"/>
      <c r="K36" s="296"/>
      <c r="L36" s="296"/>
      <c r="M36" s="296"/>
      <c r="N36" s="296"/>
      <c r="O36" s="296"/>
      <c r="P36" s="296"/>
      <c r="Q36" s="296"/>
      <c r="R36" s="296"/>
      <c r="S36" s="296"/>
    </row>
    <row r="37" spans="1:19" ht="15" customHeight="1" x14ac:dyDescent="0.2">
      <c r="A37" s="235"/>
      <c r="B37" s="327" t="s">
        <v>740</v>
      </c>
      <c r="C37" s="327"/>
      <c r="D37" s="327"/>
      <c r="E37" s="296" t="str">
        <f>""</f>
        <v/>
      </c>
      <c r="F37" s="296"/>
      <c r="G37" s="296"/>
      <c r="H37" s="296"/>
      <c r="I37" s="296"/>
      <c r="J37" s="296"/>
      <c r="K37" s="296"/>
      <c r="L37" s="296"/>
      <c r="M37" s="296"/>
      <c r="N37" s="296"/>
      <c r="O37" s="296"/>
      <c r="P37" s="296"/>
      <c r="Q37" s="296"/>
      <c r="R37" s="296"/>
      <c r="S37" s="296"/>
    </row>
    <row r="38" spans="1:19" ht="15" customHeight="1" x14ac:dyDescent="0.2">
      <c r="A38" s="235"/>
      <c r="B38" s="327" t="s">
        <v>741</v>
      </c>
      <c r="C38" s="327"/>
      <c r="D38" s="327"/>
      <c r="E38" s="296" t="str">
        <f>""</f>
        <v/>
      </c>
      <c r="F38" s="296"/>
      <c r="G38" s="296"/>
      <c r="H38" s="296"/>
      <c r="I38" s="296"/>
      <c r="J38" s="296"/>
      <c r="K38" s="296"/>
      <c r="L38" s="296"/>
      <c r="M38" s="296"/>
      <c r="N38" s="296"/>
      <c r="O38" s="296"/>
      <c r="P38" s="296"/>
      <c r="Q38" s="296"/>
      <c r="R38" s="296"/>
      <c r="S38" s="296"/>
    </row>
    <row r="39" spans="1:19" ht="15" customHeight="1" x14ac:dyDescent="0.2">
      <c r="A39" s="317"/>
      <c r="B39" s="318"/>
      <c r="C39" s="318"/>
      <c r="D39" s="318"/>
      <c r="E39" s="318"/>
      <c r="F39" s="318"/>
      <c r="G39" s="318"/>
      <c r="H39" s="318"/>
      <c r="I39" s="318"/>
      <c r="J39" s="318"/>
      <c r="K39" s="318"/>
      <c r="L39" s="318"/>
      <c r="M39" s="318"/>
      <c r="N39" s="318"/>
      <c r="O39" s="318"/>
      <c r="P39" s="318"/>
      <c r="Q39" s="318"/>
      <c r="R39" s="318"/>
      <c r="S39" s="318"/>
    </row>
    <row r="40" spans="1:19" ht="15" customHeight="1" x14ac:dyDescent="0.2">
      <c r="A40" s="326" t="s">
        <v>744</v>
      </c>
      <c r="B40" s="326"/>
      <c r="C40" s="326"/>
      <c r="D40" s="326"/>
      <c r="E40" s="326"/>
      <c r="F40" s="326"/>
      <c r="G40" s="326"/>
      <c r="H40" s="326"/>
      <c r="I40" s="326"/>
      <c r="J40" s="326"/>
      <c r="K40" s="326"/>
      <c r="L40" s="326"/>
      <c r="M40" s="326"/>
      <c r="N40" s="326"/>
      <c r="O40" s="326"/>
      <c r="P40" s="326"/>
      <c r="Q40" s="326"/>
      <c r="R40" s="326"/>
      <c r="S40" s="326"/>
    </row>
    <row r="41" spans="1:19" ht="18" customHeight="1" x14ac:dyDescent="0.2">
      <c r="A41" s="235"/>
      <c r="B41" s="324" t="s">
        <v>745</v>
      </c>
      <c r="C41" s="324"/>
      <c r="D41" s="324"/>
      <c r="E41" s="324"/>
      <c r="F41" s="324"/>
      <c r="G41" s="324"/>
      <c r="H41" s="324"/>
      <c r="I41" s="324"/>
      <c r="J41" s="324"/>
      <c r="K41" s="324"/>
      <c r="L41" s="324"/>
      <c r="M41" s="324"/>
      <c r="N41" s="324"/>
      <c r="O41" s="324"/>
      <c r="P41" s="324"/>
      <c r="Q41" s="324"/>
      <c r="R41" s="324"/>
      <c r="S41" s="324"/>
    </row>
    <row r="42" spans="1:19" ht="27.75" customHeight="1" x14ac:dyDescent="0.2">
      <c r="A42" s="235"/>
      <c r="B42" s="324" t="s">
        <v>746</v>
      </c>
      <c r="C42" s="324"/>
      <c r="D42" s="324"/>
      <c r="E42" s="324"/>
      <c r="F42" s="324"/>
      <c r="G42" s="324"/>
      <c r="H42" s="324"/>
      <c r="I42" s="324"/>
      <c r="J42" s="324"/>
      <c r="K42" s="324"/>
      <c r="L42" s="324"/>
      <c r="M42" s="324"/>
      <c r="N42" s="324"/>
      <c r="O42" s="324"/>
      <c r="P42" s="324"/>
      <c r="Q42" s="324"/>
      <c r="R42" s="324"/>
      <c r="S42" s="324"/>
    </row>
    <row r="43" spans="1:19" ht="27.75" customHeight="1" x14ac:dyDescent="0.2">
      <c r="A43" s="235"/>
      <c r="B43" s="324" t="s">
        <v>747</v>
      </c>
      <c r="C43" s="324"/>
      <c r="D43" s="324"/>
      <c r="E43" s="324"/>
      <c r="F43" s="324"/>
      <c r="G43" s="324"/>
      <c r="H43" s="324"/>
      <c r="I43" s="324"/>
      <c r="J43" s="324"/>
      <c r="K43" s="324"/>
      <c r="L43" s="324"/>
      <c r="M43" s="324"/>
      <c r="N43" s="324"/>
      <c r="O43" s="324"/>
      <c r="P43" s="324"/>
      <c r="Q43" s="324"/>
      <c r="R43" s="324"/>
      <c r="S43" s="324"/>
    </row>
    <row r="44" spans="1:19" ht="18" customHeight="1" x14ac:dyDescent="0.2">
      <c r="A44" s="235"/>
      <c r="B44" s="324" t="s">
        <v>748</v>
      </c>
      <c r="C44" s="324"/>
      <c r="D44" s="324"/>
      <c r="E44" s="324"/>
      <c r="F44" s="324"/>
      <c r="G44" s="324"/>
      <c r="H44" s="324"/>
      <c r="I44" s="324"/>
      <c r="J44" s="324"/>
      <c r="K44" s="324"/>
      <c r="L44" s="324"/>
      <c r="M44" s="324"/>
      <c r="N44" s="324"/>
      <c r="O44" s="324"/>
      <c r="P44" s="324"/>
      <c r="Q44" s="324"/>
      <c r="R44" s="324"/>
      <c r="S44" s="324"/>
    </row>
    <row r="45" spans="1:19" ht="15" customHeight="1" x14ac:dyDescent="0.2">
      <c r="A45" s="235"/>
      <c r="B45" s="324" t="s">
        <v>749</v>
      </c>
      <c r="C45" s="324"/>
      <c r="D45" s="324"/>
      <c r="E45" s="324"/>
      <c r="F45" s="324"/>
      <c r="G45" s="324"/>
      <c r="H45" s="324"/>
      <c r="I45" s="324"/>
      <c r="J45" s="324"/>
      <c r="K45" s="324"/>
      <c r="L45" s="324"/>
      <c r="M45" s="324"/>
      <c r="N45" s="324"/>
      <c r="O45" s="324"/>
      <c r="P45" s="324"/>
      <c r="Q45" s="324"/>
      <c r="R45" s="324"/>
      <c r="S45" s="324"/>
    </row>
    <row r="46" spans="1:19" ht="15" customHeight="1" x14ac:dyDescent="0.2">
      <c r="A46" s="235"/>
      <c r="B46" s="324"/>
      <c r="C46" s="318"/>
      <c r="D46" s="318"/>
      <c r="E46" s="318"/>
      <c r="F46" s="318"/>
      <c r="G46" s="318"/>
      <c r="H46" s="318"/>
      <c r="I46" s="318"/>
      <c r="J46" s="318"/>
      <c r="K46" s="318"/>
      <c r="L46" s="318"/>
      <c r="M46" s="318"/>
      <c r="N46" s="318"/>
      <c r="O46" s="318"/>
      <c r="P46" s="318"/>
      <c r="Q46" s="318"/>
      <c r="R46" s="318"/>
      <c r="S46" s="318"/>
    </row>
    <row r="47" spans="1:19" ht="15" customHeight="1" x14ac:dyDescent="0.2">
      <c r="A47" s="235"/>
      <c r="B47" s="325"/>
      <c r="C47" s="325"/>
      <c r="D47" s="325"/>
      <c r="E47" s="325"/>
      <c r="F47" s="325"/>
      <c r="G47" s="325"/>
      <c r="H47" s="325"/>
      <c r="I47" s="325"/>
      <c r="J47" s="325"/>
      <c r="K47" s="325"/>
      <c r="L47" s="325"/>
      <c r="M47" s="325"/>
      <c r="N47" s="325"/>
      <c r="O47" s="325"/>
      <c r="P47" s="325"/>
      <c r="Q47" s="325"/>
      <c r="R47" s="325"/>
      <c r="S47" s="325"/>
    </row>
    <row r="48" spans="1:19" ht="15" customHeight="1" x14ac:dyDescent="0.2">
      <c r="A48" s="235"/>
      <c r="B48" s="317"/>
      <c r="C48" s="318"/>
      <c r="D48" s="318"/>
      <c r="E48" s="318"/>
      <c r="F48" s="318"/>
      <c r="G48" s="318"/>
      <c r="H48" s="318"/>
      <c r="I48" s="318"/>
      <c r="J48" s="318"/>
      <c r="K48" s="318"/>
      <c r="L48" s="318"/>
      <c r="M48" s="318"/>
      <c r="N48" s="318"/>
      <c r="O48" s="318"/>
      <c r="P48" s="318"/>
      <c r="Q48" s="318"/>
      <c r="R48" s="318"/>
      <c r="S48" s="318"/>
    </row>
    <row r="49" spans="1:19" ht="15" customHeight="1" x14ac:dyDescent="0.2">
      <c r="A49" s="235"/>
      <c r="B49" s="317"/>
      <c r="C49" s="318"/>
      <c r="D49" s="318"/>
      <c r="E49" s="318"/>
      <c r="F49" s="318"/>
      <c r="G49" s="318"/>
      <c r="H49" s="318"/>
      <c r="I49" s="318"/>
      <c r="J49" s="318"/>
      <c r="K49" s="318"/>
      <c r="L49" s="318"/>
      <c r="M49" s="318"/>
      <c r="N49" s="318"/>
      <c r="O49" s="318"/>
      <c r="P49" s="318"/>
      <c r="Q49" s="318"/>
      <c r="R49" s="318"/>
      <c r="S49" s="318"/>
    </row>
    <row r="50" spans="1:19" ht="15" customHeight="1" x14ac:dyDescent="0.2">
      <c r="A50" s="235"/>
      <c r="B50" s="317"/>
      <c r="C50" s="318"/>
      <c r="D50" s="318"/>
      <c r="E50" s="318"/>
      <c r="F50" s="318"/>
      <c r="G50" s="318"/>
      <c r="H50" s="318"/>
      <c r="I50" s="318"/>
      <c r="J50" s="318"/>
      <c r="K50" s="318"/>
      <c r="L50" s="318"/>
      <c r="M50" s="318"/>
      <c r="N50" s="318"/>
      <c r="O50" s="318"/>
      <c r="P50" s="318"/>
      <c r="Q50" s="318"/>
      <c r="R50" s="318"/>
      <c r="S50" s="318"/>
    </row>
    <row r="51" spans="1:19" ht="15" customHeight="1" x14ac:dyDescent="0.2">
      <c r="A51" s="235"/>
      <c r="B51" s="317"/>
      <c r="C51" s="318"/>
      <c r="D51" s="318"/>
      <c r="E51" s="318"/>
      <c r="F51" s="318"/>
      <c r="G51" s="318"/>
      <c r="H51" s="318"/>
      <c r="I51" s="318"/>
      <c r="J51" s="318"/>
      <c r="K51" s="318"/>
      <c r="L51" s="318"/>
      <c r="M51" s="318"/>
      <c r="N51" s="318"/>
      <c r="O51" s="318"/>
      <c r="P51" s="318"/>
      <c r="Q51" s="318"/>
      <c r="R51" s="318"/>
      <c r="S51" s="318"/>
    </row>
    <row r="52" spans="1:19" ht="15" customHeight="1" x14ac:dyDescent="0.2">
      <c r="A52" s="235"/>
      <c r="B52" s="317"/>
      <c r="C52" s="318"/>
      <c r="D52" s="318"/>
      <c r="E52" s="318"/>
      <c r="F52" s="318"/>
      <c r="G52" s="318"/>
      <c r="H52" s="318"/>
      <c r="I52" s="318"/>
      <c r="J52" s="318"/>
      <c r="K52" s="318"/>
      <c r="L52" s="318"/>
      <c r="M52" s="318"/>
      <c r="N52" s="318"/>
      <c r="O52" s="318"/>
      <c r="P52" s="318"/>
      <c r="Q52" s="318"/>
      <c r="R52" s="318"/>
      <c r="S52" s="318"/>
    </row>
    <row r="53" spans="1:19" ht="15" customHeight="1" x14ac:dyDescent="0.2">
      <c r="A53" s="235"/>
      <c r="B53" s="317"/>
      <c r="C53" s="318"/>
      <c r="D53" s="318"/>
      <c r="E53" s="318"/>
      <c r="F53" s="318"/>
      <c r="G53" s="318"/>
      <c r="H53" s="318"/>
      <c r="I53" s="318"/>
      <c r="J53" s="318"/>
      <c r="K53" s="318"/>
      <c r="L53" s="318"/>
      <c r="M53" s="318"/>
      <c r="N53" s="318"/>
      <c r="O53" s="318"/>
      <c r="P53" s="318"/>
      <c r="Q53" s="318"/>
      <c r="R53" s="318"/>
      <c r="S53" s="318"/>
    </row>
    <row r="54" spans="1:19" ht="15" customHeight="1" x14ac:dyDescent="0.2">
      <c r="A54" s="235"/>
      <c r="B54" s="317"/>
      <c r="C54" s="318"/>
      <c r="D54" s="318"/>
      <c r="E54" s="318"/>
      <c r="F54" s="318"/>
      <c r="G54" s="318"/>
      <c r="H54" s="318"/>
      <c r="I54" s="318"/>
      <c r="J54" s="318"/>
      <c r="K54" s="318"/>
      <c r="L54" s="318"/>
      <c r="M54" s="318"/>
      <c r="N54" s="318"/>
      <c r="O54" s="318"/>
      <c r="P54" s="318"/>
      <c r="Q54" s="318"/>
      <c r="R54" s="318"/>
      <c r="S54" s="318"/>
    </row>
    <row r="55" spans="1:19" ht="15" customHeight="1" x14ac:dyDescent="0.2">
      <c r="A55" s="235"/>
      <c r="B55" s="317"/>
      <c r="C55" s="318"/>
      <c r="D55" s="318"/>
      <c r="E55" s="318"/>
      <c r="F55" s="318"/>
      <c r="G55" s="318"/>
      <c r="H55" s="318"/>
      <c r="I55" s="318"/>
      <c r="J55" s="318"/>
      <c r="K55" s="318"/>
      <c r="L55" s="318"/>
      <c r="M55" s="318"/>
      <c r="N55" s="318"/>
      <c r="O55" s="318"/>
      <c r="P55" s="318"/>
      <c r="Q55" s="318"/>
      <c r="R55" s="318"/>
      <c r="S55" s="318"/>
    </row>
    <row r="56" spans="1:19" ht="18.75" customHeight="1" x14ac:dyDescent="0.15">
      <c r="A56" s="319" t="s">
        <v>750</v>
      </c>
      <c r="B56" s="319"/>
      <c r="C56" s="319"/>
      <c r="D56" s="319"/>
      <c r="E56" s="319"/>
      <c r="F56" s="320">
        <f>'TH kinh phí'!I97</f>
        <v>2519013000</v>
      </c>
      <c r="G56" s="321"/>
      <c r="H56" s="321"/>
      <c r="I56" s="321"/>
      <c r="J56" s="321"/>
      <c r="K56" s="321"/>
      <c r="L56" s="321"/>
      <c r="M56" s="321"/>
      <c r="N56" s="321"/>
      <c r="O56" s="321"/>
      <c r="P56" s="321"/>
      <c r="Q56" s="321"/>
      <c r="R56" s="321"/>
      <c r="S56" s="321"/>
    </row>
    <row r="57" spans="1:19" ht="37.5" customHeight="1" x14ac:dyDescent="0.15">
      <c r="A57" s="236"/>
      <c r="B57" s="236"/>
      <c r="C57" s="236"/>
      <c r="D57" s="236"/>
      <c r="E57" s="236"/>
      <c r="F57" s="322" t="s">
        <v>751</v>
      </c>
      <c r="G57" s="323"/>
      <c r="H57" s="323"/>
      <c r="I57" s="323"/>
      <c r="J57" s="323"/>
      <c r="K57" s="323"/>
      <c r="L57" s="323"/>
      <c r="M57" s="323"/>
      <c r="N57" s="323"/>
      <c r="O57" s="323"/>
      <c r="P57" s="323"/>
      <c r="Q57" s="323"/>
      <c r="R57" s="323"/>
      <c r="S57" s="323" t="s">
        <v>752</v>
      </c>
    </row>
  </sheetData>
  <mergeCells count="48">
    <mergeCell ref="B1:G5"/>
    <mergeCell ref="H1:Q1"/>
    <mergeCell ref="H2:Q2"/>
    <mergeCell ref="H3:Q3"/>
    <mergeCell ref="B12:R12"/>
    <mergeCell ref="B16:D16"/>
    <mergeCell ref="E16:S16"/>
    <mergeCell ref="B17:D17"/>
    <mergeCell ref="E17:S17"/>
    <mergeCell ref="B18:D18"/>
    <mergeCell ref="E18:S18"/>
    <mergeCell ref="B19:D19"/>
    <mergeCell ref="E19:S19"/>
    <mergeCell ref="B20:D20"/>
    <mergeCell ref="E20:S20"/>
    <mergeCell ref="B30:R30"/>
    <mergeCell ref="A32:S32"/>
    <mergeCell ref="A33:S33"/>
    <mergeCell ref="B34:D34"/>
    <mergeCell ref="E34:S34"/>
    <mergeCell ref="B35:D35"/>
    <mergeCell ref="E35:S35"/>
    <mergeCell ref="B36:D36"/>
    <mergeCell ref="E36:S36"/>
    <mergeCell ref="B37:D37"/>
    <mergeCell ref="E37:S37"/>
    <mergeCell ref="B38:D38"/>
    <mergeCell ref="E38:S38"/>
    <mergeCell ref="A39:S39"/>
    <mergeCell ref="A40:S40"/>
    <mergeCell ref="B41:S41"/>
    <mergeCell ref="B42:S42"/>
    <mergeCell ref="B43:S43"/>
    <mergeCell ref="B44:S44"/>
    <mergeCell ref="B45:S45"/>
    <mergeCell ref="B46:S46"/>
    <mergeCell ref="B47:S47"/>
    <mergeCell ref="B48:S48"/>
    <mergeCell ref="B49:S49"/>
    <mergeCell ref="B50:S50"/>
    <mergeCell ref="B51:S51"/>
    <mergeCell ref="B52:S52"/>
    <mergeCell ref="B53:S53"/>
    <mergeCell ref="B54:S54"/>
    <mergeCell ref="B55:S55"/>
    <mergeCell ref="A56:E56"/>
    <mergeCell ref="F56:S56"/>
    <mergeCell ref="F57:S57"/>
  </mergeCells>
  <pageMargins left="1.2291666666666667" right="0" top="4.1666666666666664E-2" bottom="0.20833333333333334" header="0.57291666666666663" footer="0.40625"/>
  <pageSetup paperSize="0" orientation="landscape" blackAndWhite="1" useFirstPageNumber="1"/>
  <headerFooter>
    <oddFooter>&amp;C&amp;P</oddFooter>
  </headerFooter>
  <rowBreaks count="1" manualBreakCount="1">
    <brk id="31" max="25"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E1:Z1"/>
  <sheetViews>
    <sheetView workbookViewId="0"/>
  </sheetViews>
  <sheetFormatPr defaultColWidth="10" defaultRowHeight="15" customHeight="1" x14ac:dyDescent="0.15"/>
  <cols>
    <col min="1" max="4" width="10" style="51" customWidth="1"/>
    <col min="5" max="7" width="10" style="51" hidden="1" customWidth="1"/>
    <col min="8" max="13" width="10" style="51" customWidth="1"/>
    <col min="14" max="14" width="10" style="51" hidden="1" customWidth="1"/>
    <col min="15" max="16" width="10" style="51" customWidth="1"/>
    <col min="17" max="17" width="10" style="51" hidden="1" customWidth="1"/>
    <col min="18" max="18" width="10" style="51" customWidth="1"/>
    <col min="19" max="20" width="10" style="51" hidden="1" customWidth="1"/>
    <col min="21" max="22" width="10" style="51" customWidth="1"/>
    <col min="23" max="26" width="10" style="51" hidden="1" customWidth="1"/>
    <col min="27" max="32" width="10" style="51" customWidth="1"/>
    <col min="3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
  <sheetViews>
    <sheetView workbookViewId="0"/>
  </sheetViews>
  <sheetFormatPr defaultColWidth="10" defaultRowHeight="15" customHeight="1" x14ac:dyDescent="0.15"/>
  <cols>
    <col min="1" max="2" width="10" style="51" customWidth="1"/>
    <col min="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defaultColWidth="10" defaultRowHeight="15" customHeight="1" x14ac:dyDescent="0.15"/>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
  <sheetViews>
    <sheetView workbookViewId="0"/>
  </sheetViews>
  <sheetFormatPr defaultColWidth="10" defaultRowHeight="15" customHeight="1" x14ac:dyDescent="0.15"/>
  <cols>
    <col min="1" max="13" width="10" style="51" customWidth="1"/>
    <col min="14" max="16384" width="10" style="51"/>
  </cols>
  <sheetData/>
  <pageMargins left="1.2291666666666667" right="0" top="4.1666666666666664E-2" bottom="0.20833333333333334" header="0.57291666666666663" footer="0.40625"/>
  <pageSetup paperSize="0" orientation="portrait" blackAndWhite="1" useFirstPageNumber="1"/>
  <headerFooter>
    <oddFooter>&amp;C&amp;P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38"/>
  <sheetViews>
    <sheetView workbookViewId="0"/>
  </sheetViews>
  <sheetFormatPr defaultColWidth="10" defaultRowHeight="15" customHeight="1" x14ac:dyDescent="0.15"/>
  <cols>
    <col min="1" max="1" width="10" style="51" customWidth="1"/>
    <col min="2" max="2" width="41.6640625" style="51" customWidth="1"/>
    <col min="3" max="4" width="20" style="51" customWidth="1"/>
    <col min="5" max="7" width="10" style="51" customWidth="1"/>
    <col min="8" max="16384" width="10" style="51"/>
  </cols>
  <sheetData>
    <row r="1" spans="1:4" ht="26.25" customHeight="1" x14ac:dyDescent="0.15">
      <c r="A1" s="258" t="s">
        <v>753</v>
      </c>
      <c r="B1" s="252"/>
      <c r="C1" s="252"/>
      <c r="D1" s="252"/>
    </row>
    <row r="2" spans="1:4" ht="73.5" customHeight="1" x14ac:dyDescent="0.15">
      <c r="A2"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 s="252"/>
      <c r="C2" s="252"/>
      <c r="D2" s="252"/>
    </row>
    <row r="3" spans="1:4" ht="37.5" customHeight="1" x14ac:dyDescent="0.15">
      <c r="A3" s="262" t="str">
        <f>'Công trình'!F6</f>
        <v>THÍ NGHIỆM SIÊU ÂM KIỂM TRA CHẤT LƯỢNG CỌC KHOAN ĐẠI TRÀ</v>
      </c>
      <c r="B3" s="252"/>
      <c r="C3" s="252"/>
      <c r="D3" s="252"/>
    </row>
    <row r="4" spans="1:4" ht="15" customHeight="1" x14ac:dyDescent="0.15">
      <c r="A4" s="237" t="s">
        <v>4</v>
      </c>
      <c r="B4" s="237" t="s">
        <v>754</v>
      </c>
      <c r="C4" s="237" t="s">
        <v>755</v>
      </c>
      <c r="D4" s="237" t="s">
        <v>67</v>
      </c>
    </row>
    <row r="5" spans="1:4" ht="15" customHeight="1" x14ac:dyDescent="0.15">
      <c r="A5" s="238">
        <v>1</v>
      </c>
      <c r="B5" s="239" t="s">
        <v>756</v>
      </c>
      <c r="C5" s="240" t="s">
        <v>233</v>
      </c>
      <c r="D5" s="241">
        <v>1</v>
      </c>
    </row>
    <row r="6" spans="1:4" ht="15" customHeight="1" x14ac:dyDescent="0.15">
      <c r="A6" s="238">
        <v>2</v>
      </c>
      <c r="B6" s="239" t="s">
        <v>757</v>
      </c>
      <c r="C6" s="240" t="s">
        <v>758</v>
      </c>
      <c r="D6" s="241">
        <v>0</v>
      </c>
    </row>
    <row r="7" spans="1:4" ht="15" customHeight="1" x14ac:dyDescent="0.15">
      <c r="A7" s="238">
        <v>3</v>
      </c>
      <c r="B7" s="239" t="s">
        <v>759</v>
      </c>
      <c r="C7" s="240" t="s">
        <v>233</v>
      </c>
      <c r="D7" s="241">
        <v>1</v>
      </c>
    </row>
    <row r="8" spans="1:4" ht="15" customHeight="1" x14ac:dyDescent="0.15">
      <c r="A8" s="238">
        <v>4</v>
      </c>
      <c r="B8" s="239" t="s">
        <v>760</v>
      </c>
      <c r="C8" s="240" t="s">
        <v>758</v>
      </c>
      <c r="D8" s="241">
        <v>0</v>
      </c>
    </row>
    <row r="9" spans="1:4" ht="15" customHeight="1" x14ac:dyDescent="0.15">
      <c r="A9" s="238">
        <v>5</v>
      </c>
      <c r="B9" s="239" t="s">
        <v>761</v>
      </c>
      <c r="C9" s="240" t="s">
        <v>233</v>
      </c>
      <c r="D9" s="241">
        <v>1</v>
      </c>
    </row>
    <row r="10" spans="1:4" ht="15" customHeight="1" x14ac:dyDescent="0.15">
      <c r="A10" s="238">
        <v>6</v>
      </c>
      <c r="B10" s="239" t="s">
        <v>762</v>
      </c>
      <c r="C10" s="240" t="s">
        <v>758</v>
      </c>
      <c r="D10" s="241">
        <v>0</v>
      </c>
    </row>
    <row r="11" spans="1:4" ht="15" customHeight="1" x14ac:dyDescent="0.15">
      <c r="A11" s="238">
        <v>7</v>
      </c>
      <c r="B11" s="239" t="s">
        <v>763</v>
      </c>
      <c r="C11" s="240" t="s">
        <v>233</v>
      </c>
      <c r="D11" s="241">
        <v>1</v>
      </c>
    </row>
    <row r="12" spans="1:4" ht="15" customHeight="1" x14ac:dyDescent="0.15">
      <c r="A12" s="238">
        <v>8</v>
      </c>
      <c r="B12" s="239" t="s">
        <v>764</v>
      </c>
      <c r="C12" s="240" t="s">
        <v>758</v>
      </c>
      <c r="D12" s="241">
        <v>0</v>
      </c>
    </row>
    <row r="13" spans="1:4" ht="15" customHeight="1" x14ac:dyDescent="0.15">
      <c r="A13" s="238">
        <v>9</v>
      </c>
      <c r="B13" s="239" t="s">
        <v>765</v>
      </c>
      <c r="C13" s="240" t="str">
        <f t="shared" ref="C13:C19" si="0">SUBSTITUTE(D13*100&amp;"%",".",",")</f>
        <v>6%</v>
      </c>
      <c r="D13" s="241">
        <v>0.06</v>
      </c>
    </row>
    <row r="14" spans="1:4" ht="15" customHeight="1" x14ac:dyDescent="0.15">
      <c r="A14" s="238">
        <v>10</v>
      </c>
      <c r="B14" s="239" t="s">
        <v>252</v>
      </c>
      <c r="C14" s="240" t="str">
        <f t="shared" si="0"/>
        <v>70%</v>
      </c>
      <c r="D14" s="241">
        <v>0.7</v>
      </c>
    </row>
    <row r="15" spans="1:4" ht="15" customHeight="1" x14ac:dyDescent="0.15">
      <c r="A15" s="238">
        <v>11</v>
      </c>
      <c r="B15" s="239" t="s">
        <v>766</v>
      </c>
      <c r="C15" s="240" t="str">
        <f t="shared" si="0"/>
        <v>0%</v>
      </c>
      <c r="D15" s="241">
        <v>0</v>
      </c>
    </row>
    <row r="16" spans="1:4" ht="15" customHeight="1" x14ac:dyDescent="0.15">
      <c r="A16" s="238">
        <v>12</v>
      </c>
      <c r="B16" s="239" t="s">
        <v>768</v>
      </c>
      <c r="C16" s="240" t="str">
        <f t="shared" si="0"/>
        <v>6%</v>
      </c>
      <c r="D16" s="241">
        <v>0.06</v>
      </c>
    </row>
    <row r="17" spans="1:4" ht="15" customHeight="1" x14ac:dyDescent="0.15">
      <c r="A17" s="238">
        <v>13</v>
      </c>
      <c r="B17" s="239" t="s">
        <v>301</v>
      </c>
      <c r="C17" s="240" t="str">
        <f t="shared" si="0"/>
        <v>10%</v>
      </c>
      <c r="D17" s="241">
        <v>0.1</v>
      </c>
    </row>
    <row r="18" spans="1:4" ht="15" customHeight="1" x14ac:dyDescent="0.15">
      <c r="A18" s="238">
        <v>14</v>
      </c>
      <c r="B18" s="239" t="s">
        <v>769</v>
      </c>
      <c r="C18" s="240" t="str">
        <f t="shared" si="0"/>
        <v>2%</v>
      </c>
      <c r="D18" s="241">
        <v>0.02</v>
      </c>
    </row>
    <row r="19" spans="1:4" ht="15" customHeight="1" x14ac:dyDescent="0.15">
      <c r="A19" s="238">
        <v>15</v>
      </c>
      <c r="B19" s="239" t="s">
        <v>770</v>
      </c>
      <c r="C19" s="240" t="str">
        <f t="shared" si="0"/>
        <v>0%</v>
      </c>
      <c r="D19" s="241">
        <v>0</v>
      </c>
    </row>
    <row r="20" spans="1:4" ht="26.25" customHeight="1" x14ac:dyDescent="0.15">
      <c r="A20" s="258" t="s">
        <v>753</v>
      </c>
      <c r="B20" s="252"/>
      <c r="C20" s="252"/>
      <c r="D20" s="252"/>
    </row>
    <row r="21" spans="1:4" ht="73.5" customHeight="1" x14ac:dyDescent="0.15">
      <c r="A21" s="261" t="str">
        <f>'Công trình'!A2</f>
        <v>CÔNG TRÌNH : XÂY DỰNG NHÀ Ở CHO LỰC LƯỢNG VŨ TRANG CÔNG AN NHÂN DÂN (NHÀ Ở XÃ HỘI CHO CÁN BỘ, CHIẾN SỸ CÔNG AN) TẠI CÁC Ô ĐẤT CE-ODK3 VÀ C3-ODK4 THUỘC QUY HOẠCH PHÂN KHU ĐÔ THỊ H2-4, PHƯỜNG YÊN SỞ, THÀNH PHỐ HÀ NỘI</v>
      </c>
      <c r="B21" s="252"/>
      <c r="C21" s="252"/>
      <c r="D21" s="252"/>
    </row>
    <row r="22" spans="1:4" ht="37.5" customHeight="1" x14ac:dyDescent="0.15">
      <c r="A22" s="262" t="str">
        <f>'Công trình'!F11</f>
        <v>KHOAN KIỂM TRA XỬ LÝ ĐÁY CỌC KHOAN NHỒI ĐẠI TRÀ</v>
      </c>
      <c r="B22" s="252"/>
      <c r="C22" s="252"/>
      <c r="D22" s="252"/>
    </row>
    <row r="23" spans="1:4" ht="15" customHeight="1" x14ac:dyDescent="0.15">
      <c r="A23" s="237" t="s">
        <v>4</v>
      </c>
      <c r="B23" s="237" t="s">
        <v>754</v>
      </c>
      <c r="C23" s="237" t="s">
        <v>755</v>
      </c>
      <c r="D23" s="237" t="s">
        <v>67</v>
      </c>
    </row>
    <row r="24" spans="1:4" ht="15" customHeight="1" x14ac:dyDescent="0.15">
      <c r="A24" s="238">
        <v>1</v>
      </c>
      <c r="B24" s="239" t="s">
        <v>756</v>
      </c>
      <c r="C24" s="240" t="s">
        <v>233</v>
      </c>
      <c r="D24" s="241">
        <v>1</v>
      </c>
    </row>
    <row r="25" spans="1:4" ht="15" customHeight="1" x14ac:dyDescent="0.15">
      <c r="A25" s="238">
        <v>2</v>
      </c>
      <c r="B25" s="239" t="s">
        <v>757</v>
      </c>
      <c r="C25" s="240" t="s">
        <v>758</v>
      </c>
      <c r="D25" s="241">
        <v>0</v>
      </c>
    </row>
    <row r="26" spans="1:4" ht="15" customHeight="1" x14ac:dyDescent="0.15">
      <c r="A26" s="238">
        <v>3</v>
      </c>
      <c r="B26" s="239" t="s">
        <v>759</v>
      </c>
      <c r="C26" s="240" t="s">
        <v>233</v>
      </c>
      <c r="D26" s="241">
        <v>1</v>
      </c>
    </row>
    <row r="27" spans="1:4" ht="15" customHeight="1" x14ac:dyDescent="0.15">
      <c r="A27" s="238">
        <v>4</v>
      </c>
      <c r="B27" s="239" t="s">
        <v>760</v>
      </c>
      <c r="C27" s="240" t="s">
        <v>758</v>
      </c>
      <c r="D27" s="241">
        <v>0</v>
      </c>
    </row>
    <row r="28" spans="1:4" ht="15" customHeight="1" x14ac:dyDescent="0.15">
      <c r="A28" s="238">
        <v>5</v>
      </c>
      <c r="B28" s="239" t="s">
        <v>761</v>
      </c>
      <c r="C28" s="240" t="s">
        <v>233</v>
      </c>
      <c r="D28" s="241">
        <v>1</v>
      </c>
    </row>
    <row r="29" spans="1:4" ht="15" customHeight="1" x14ac:dyDescent="0.15">
      <c r="A29" s="238">
        <v>6</v>
      </c>
      <c r="B29" s="239" t="s">
        <v>762</v>
      </c>
      <c r="C29" s="240" t="s">
        <v>758</v>
      </c>
      <c r="D29" s="241">
        <v>0</v>
      </c>
    </row>
    <row r="30" spans="1:4" ht="15" customHeight="1" x14ac:dyDescent="0.15">
      <c r="A30" s="238">
        <v>7</v>
      </c>
      <c r="B30" s="239" t="s">
        <v>763</v>
      </c>
      <c r="C30" s="240" t="s">
        <v>233</v>
      </c>
      <c r="D30" s="241">
        <v>1</v>
      </c>
    </row>
    <row r="31" spans="1:4" ht="15" customHeight="1" x14ac:dyDescent="0.15">
      <c r="A31" s="238">
        <v>8</v>
      </c>
      <c r="B31" s="239" t="s">
        <v>764</v>
      </c>
      <c r="C31" s="240" t="s">
        <v>758</v>
      </c>
      <c r="D31" s="241">
        <v>0</v>
      </c>
    </row>
    <row r="32" spans="1:4" ht="15" customHeight="1" x14ac:dyDescent="0.15">
      <c r="A32" s="238">
        <v>9</v>
      </c>
      <c r="B32" s="239" t="s">
        <v>765</v>
      </c>
      <c r="C32" s="240" t="str">
        <f t="shared" ref="C32:C38" si="1">SUBSTITUTE(D32*100&amp;"%",".",",")</f>
        <v>6%</v>
      </c>
      <c r="D32" s="241">
        <v>0.06</v>
      </c>
    </row>
    <row r="33" spans="1:4" ht="15" customHeight="1" x14ac:dyDescent="0.15">
      <c r="A33" s="238">
        <v>10</v>
      </c>
      <c r="B33" s="239" t="s">
        <v>252</v>
      </c>
      <c r="C33" s="240" t="str">
        <f t="shared" si="1"/>
        <v>70%</v>
      </c>
      <c r="D33" s="241">
        <v>0.7</v>
      </c>
    </row>
    <row r="34" spans="1:4" ht="15" customHeight="1" x14ac:dyDescent="0.15">
      <c r="A34" s="238">
        <v>11</v>
      </c>
      <c r="B34" s="239" t="s">
        <v>766</v>
      </c>
      <c r="C34" s="240" t="str">
        <f t="shared" si="1"/>
        <v>0%</v>
      </c>
      <c r="D34" s="241">
        <v>0</v>
      </c>
    </row>
    <row r="35" spans="1:4" ht="15" customHeight="1" x14ac:dyDescent="0.15">
      <c r="A35" s="238">
        <v>12</v>
      </c>
      <c r="B35" s="239" t="s">
        <v>768</v>
      </c>
      <c r="C35" s="240" t="str">
        <f t="shared" si="1"/>
        <v>6%</v>
      </c>
      <c r="D35" s="241">
        <v>0.06</v>
      </c>
    </row>
    <row r="36" spans="1:4" ht="15" customHeight="1" x14ac:dyDescent="0.15">
      <c r="A36" s="238">
        <v>13</v>
      </c>
      <c r="B36" s="239" t="s">
        <v>301</v>
      </c>
      <c r="C36" s="240" t="str">
        <f t="shared" si="1"/>
        <v>10%</v>
      </c>
      <c r="D36" s="241">
        <v>0.1</v>
      </c>
    </row>
    <row r="37" spans="1:4" ht="15" customHeight="1" x14ac:dyDescent="0.15">
      <c r="A37" s="238">
        <v>14</v>
      </c>
      <c r="B37" s="239" t="s">
        <v>769</v>
      </c>
      <c r="C37" s="240" t="str">
        <f t="shared" si="1"/>
        <v>2%</v>
      </c>
      <c r="D37" s="241">
        <v>0.02</v>
      </c>
    </row>
    <row r="38" spans="1:4" ht="15" customHeight="1" x14ac:dyDescent="0.15">
      <c r="A38" s="238">
        <v>15</v>
      </c>
      <c r="B38" s="239" t="s">
        <v>770</v>
      </c>
      <c r="C38" s="240" t="str">
        <f t="shared" si="1"/>
        <v>0%</v>
      </c>
      <c r="D38" s="241">
        <v>0</v>
      </c>
    </row>
  </sheetData>
  <mergeCells count="6">
    <mergeCell ref="A22:D22"/>
    <mergeCell ref="A1:D1"/>
    <mergeCell ref="A2:D2"/>
    <mergeCell ref="A3:D3"/>
    <mergeCell ref="A20:D20"/>
    <mergeCell ref="A21:D21"/>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37"/>
  <sheetViews>
    <sheetView workbookViewId="0"/>
  </sheetViews>
  <sheetFormatPr defaultColWidth="10" defaultRowHeight="15" customHeight="1" x14ac:dyDescent="0.15"/>
  <cols>
    <col min="1" max="1" width="10" style="41" customWidth="1"/>
    <col min="2" max="2" width="50" style="46" customWidth="1"/>
    <col min="3" max="3" width="33.33203125" style="46" customWidth="1"/>
    <col min="4" max="6" width="20" style="41" customWidth="1"/>
    <col min="7" max="7" width="33.33203125" style="41" customWidth="1"/>
    <col min="8" max="9" width="10" style="46" customWidth="1"/>
    <col min="10" max="16384" width="10" style="46"/>
  </cols>
  <sheetData>
    <row r="1" spans="1:7" ht="37.5" customHeight="1" x14ac:dyDescent="0.15">
      <c r="A1" s="258" t="s">
        <v>771</v>
      </c>
      <c r="B1" s="260"/>
      <c r="C1" s="260"/>
      <c r="D1" s="259"/>
      <c r="E1" s="259"/>
    </row>
    <row r="2" spans="1:7" ht="26.25" customHeight="1" x14ac:dyDescent="0.15">
      <c r="A2" s="52" t="s">
        <v>4</v>
      </c>
      <c r="B2" s="19" t="s">
        <v>772</v>
      </c>
      <c r="C2" s="19" t="s">
        <v>773</v>
      </c>
      <c r="D2" s="19" t="s">
        <v>774</v>
      </c>
      <c r="E2" s="19" t="s">
        <v>179</v>
      </c>
      <c r="F2" s="19" t="s">
        <v>775</v>
      </c>
      <c r="G2" s="19" t="s">
        <v>667</v>
      </c>
    </row>
    <row r="3" spans="1:7" ht="15" customHeight="1" x14ac:dyDescent="0.15">
      <c r="A3" s="242">
        <f>'TH kinh phí'!A22</f>
        <v>4</v>
      </c>
      <c r="B3" s="25" t="str">
        <f>'TH kinh phí'!B22</f>
        <v>Chi phí quản lý dự án</v>
      </c>
      <c r="C3" s="25"/>
      <c r="D3" s="100">
        <v>10</v>
      </c>
      <c r="E3" s="168">
        <v>3.4459999999999998E-2</v>
      </c>
      <c r="F3" s="168">
        <f t="shared" ref="F3:F26" si="0">ROUND(E3,7)</f>
        <v>3.4459999999999998E-2</v>
      </c>
      <c r="G3" s="28" t="s">
        <v>370</v>
      </c>
    </row>
    <row r="4" spans="1:7" ht="52.5" customHeight="1" x14ac:dyDescent="0.15">
      <c r="A4" s="242">
        <f>'TH kinh phí'!A23</f>
        <v>4</v>
      </c>
      <c r="B4" s="25" t="str">
        <f>'TH kinh phí'!B23</f>
        <v>Chi phí hoạt động của đơn vị quản lý dự án thuộc cơ quan nhà nước có thẩm quyền thực hiện dự án theo hình thức đối tác công tư (PPP)</v>
      </c>
      <c r="C4" s="25"/>
      <c r="D4" s="100">
        <v>50</v>
      </c>
      <c r="E4" s="168">
        <v>1.1129999999999999E-2</v>
      </c>
      <c r="F4" s="168">
        <f t="shared" si="0"/>
        <v>1.1129999999999999E-2</v>
      </c>
      <c r="G4" s="28" t="s">
        <v>370</v>
      </c>
    </row>
    <row r="5" spans="1:7" ht="15" customHeight="1" x14ac:dyDescent="0.15">
      <c r="A5" s="242" t="str">
        <f>'TH kinh phí'!A34</f>
        <v>5.6</v>
      </c>
      <c r="B5" s="25" t="str">
        <f>'TH kinh phí'!B34</f>
        <v>Chi phí lập báo cáo đề xuất chủ trương đầu tư</v>
      </c>
      <c r="C5" s="25"/>
      <c r="D5" s="100">
        <v>15</v>
      </c>
      <c r="E5" s="168">
        <v>3.0100000000000001E-3</v>
      </c>
      <c r="F5" s="168">
        <f t="shared" si="0"/>
        <v>3.0100000000000001E-3</v>
      </c>
      <c r="G5" s="28" t="s">
        <v>370</v>
      </c>
    </row>
    <row r="6" spans="1:7" ht="15" customHeight="1" x14ac:dyDescent="0.15">
      <c r="A6" s="242" t="str">
        <f>'TH kinh phí'!A35</f>
        <v>5.7</v>
      </c>
      <c r="B6" s="25" t="str">
        <f>'TH kinh phí'!B35</f>
        <v>Chi phí lập báo cáo nghiên cứu tiền khả thi</v>
      </c>
      <c r="C6" s="25"/>
      <c r="D6" s="100">
        <v>15</v>
      </c>
      <c r="E6" s="168">
        <v>6.6800000000000002E-3</v>
      </c>
      <c r="F6" s="168">
        <f t="shared" si="0"/>
        <v>6.6800000000000002E-3</v>
      </c>
      <c r="G6" s="28" t="s">
        <v>370</v>
      </c>
    </row>
    <row r="7" spans="1:7" ht="15" customHeight="1" x14ac:dyDescent="0.15">
      <c r="A7" s="242" t="str">
        <f>'TH kinh phí'!A36</f>
        <v>5.8</v>
      </c>
      <c r="B7" s="25" t="str">
        <f>'TH kinh phí'!B36</f>
        <v>Chi phí lập báo cáo nghiên cứu khả thi</v>
      </c>
      <c r="C7" s="25"/>
      <c r="D7" s="100">
        <v>15</v>
      </c>
      <c r="E7" s="168">
        <v>1.1140000000000001E-2</v>
      </c>
      <c r="F7" s="168">
        <f t="shared" si="0"/>
        <v>1.1140000000000001E-2</v>
      </c>
      <c r="G7" s="28" t="s">
        <v>370</v>
      </c>
    </row>
    <row r="8" spans="1:7" ht="27.75" customHeight="1" x14ac:dyDescent="0.15">
      <c r="A8" s="242" t="str">
        <f>'TH kinh phí'!A38</f>
        <v>5.10</v>
      </c>
      <c r="B8" s="25" t="str">
        <f>'TH kinh phí'!B38</f>
        <v>Chi phí thẩm tra báo cáo đề xuất chủ trương đầu tư</v>
      </c>
      <c r="C8" s="25"/>
      <c r="D8" s="100">
        <v>15</v>
      </c>
      <c r="E8" s="168">
        <v>7.1000000000000002E-4</v>
      </c>
      <c r="F8" s="168">
        <f t="shared" si="0"/>
        <v>7.1000000000000002E-4</v>
      </c>
      <c r="G8" s="28" t="s">
        <v>370</v>
      </c>
    </row>
    <row r="9" spans="1:7" ht="27.75" customHeight="1" x14ac:dyDescent="0.15">
      <c r="A9" s="242" t="str">
        <f>'TH kinh phí'!A39</f>
        <v>5.11</v>
      </c>
      <c r="B9" s="25" t="str">
        <f>'TH kinh phí'!B39</f>
        <v>Chi phí thẩm tra báo cáo nghiên cứu tiền khả thi</v>
      </c>
      <c r="C9" s="25"/>
      <c r="D9" s="100">
        <v>15</v>
      </c>
      <c r="E9" s="168">
        <v>7.1000000000000002E-4</v>
      </c>
      <c r="F9" s="168">
        <f t="shared" si="0"/>
        <v>7.1000000000000002E-4</v>
      </c>
      <c r="G9" s="28" t="s">
        <v>370</v>
      </c>
    </row>
    <row r="10" spans="1:7" ht="15" customHeight="1" x14ac:dyDescent="0.15">
      <c r="A10" s="242" t="str">
        <f>'TH kinh phí'!A40</f>
        <v>5.12</v>
      </c>
      <c r="B10" s="25" t="str">
        <f>'TH kinh phí'!B40</f>
        <v>Chi phí thẩm tra báo cáo nghiên cứu khả thi</v>
      </c>
      <c r="C10" s="25"/>
      <c r="D10" s="100">
        <v>15</v>
      </c>
      <c r="E10" s="168">
        <v>2.0400000000000001E-3</v>
      </c>
      <c r="F10" s="168">
        <f t="shared" si="0"/>
        <v>2.0400000000000001E-3</v>
      </c>
      <c r="G10" s="28" t="s">
        <v>370</v>
      </c>
    </row>
    <row r="11" spans="1:7" ht="15" customHeight="1" x14ac:dyDescent="0.15">
      <c r="A11" s="242" t="str">
        <f>'TH kinh phí'!A37</f>
        <v>5.9</v>
      </c>
      <c r="B11" s="25" t="str">
        <f>'TH kinh phí'!B37</f>
        <v>Chi phí lập báo cáo kinh tế - kỹ thuật</v>
      </c>
      <c r="C11" s="25"/>
      <c r="D11" s="100">
        <v>1</v>
      </c>
      <c r="E11" s="168">
        <v>6.5000000000000002E-2</v>
      </c>
      <c r="F11" s="168">
        <f t="shared" si="0"/>
        <v>6.5000000000000002E-2</v>
      </c>
      <c r="G11" s="28" t="s">
        <v>370</v>
      </c>
    </row>
    <row r="12" spans="1:7" ht="27.75" customHeight="1" x14ac:dyDescent="0.15">
      <c r="A12" s="242" t="str">
        <f>'TH kinh phí'!A42</f>
        <v>5.14</v>
      </c>
      <c r="B12" s="25" t="str">
        <f>'TH kinh phí'!B42</f>
        <v>Chi phí thẩm tra Báo cáo kinh tế - kỹ thuật, phần thiết kế</v>
      </c>
      <c r="C12" s="25"/>
      <c r="D12" s="100">
        <v>10</v>
      </c>
      <c r="E12" s="168">
        <v>2.5799999999999998E-3</v>
      </c>
      <c r="F12" s="168">
        <f t="shared" si="0"/>
        <v>2.5799999999999998E-3</v>
      </c>
      <c r="G12" s="28" t="s">
        <v>370</v>
      </c>
    </row>
    <row r="13" spans="1:7" ht="27.75" customHeight="1" x14ac:dyDescent="0.15">
      <c r="A13" s="242" t="str">
        <f>'TH kinh phí'!A43</f>
        <v>5.15</v>
      </c>
      <c r="B13" s="25" t="str">
        <f>'TH kinh phí'!B43</f>
        <v>Chi phí thẩm tra Báo cáo kinh tế - kỹ thuật, phần dự toán</v>
      </c>
      <c r="C13" s="25"/>
      <c r="D13" s="100">
        <v>10</v>
      </c>
      <c r="E13" s="168">
        <v>2.5000000000000001E-3</v>
      </c>
      <c r="F13" s="168">
        <f t="shared" si="0"/>
        <v>2.5000000000000001E-3</v>
      </c>
      <c r="G13" s="28" t="s">
        <v>370</v>
      </c>
    </row>
    <row r="14" spans="1:7" ht="15" customHeight="1" x14ac:dyDescent="0.15">
      <c r="A14" s="242" t="str">
        <f>'TH kinh phí'!A47</f>
        <v>5.19</v>
      </c>
      <c r="B14" s="25" t="str">
        <f>'TH kinh phí'!B47</f>
        <v>Chi phí thiết kế kỹ thuật</v>
      </c>
      <c r="C14" s="25"/>
      <c r="D14" s="100">
        <v>10</v>
      </c>
      <c r="E14" s="168">
        <v>2.6700000000000002E-2</v>
      </c>
      <c r="F14" s="168">
        <f t="shared" si="0"/>
        <v>2.6700000000000002E-2</v>
      </c>
      <c r="G14" s="28" t="s">
        <v>370</v>
      </c>
    </row>
    <row r="15" spans="1:7" ht="15" customHeight="1" x14ac:dyDescent="0.15">
      <c r="A15" s="242" t="str">
        <f>'TH kinh phí'!A48</f>
        <v>5.20</v>
      </c>
      <c r="B15" s="25" t="str">
        <f>'TH kinh phí'!B48</f>
        <v>Chi phí thiết kế bản vẽ thi công</v>
      </c>
      <c r="C15" s="25"/>
      <c r="D15" s="100">
        <v>10</v>
      </c>
      <c r="E15" s="168">
        <v>2.6700000000000002E-2</v>
      </c>
      <c r="F15" s="168">
        <f t="shared" si="0"/>
        <v>2.6700000000000002E-2</v>
      </c>
      <c r="G15" s="28" t="s">
        <v>370</v>
      </c>
    </row>
    <row r="16" spans="1:7" ht="39.75" customHeight="1" x14ac:dyDescent="0.15">
      <c r="A16" s="242" t="str">
        <f>'TH kinh phí'!A49</f>
        <v>5.21</v>
      </c>
      <c r="B16" s="25" t="str">
        <f>'TH kinh phí'!B49</f>
        <v>Chi phí thiết kế - Phần thiết bị (khi Chi phí thiết bị ≥ 50% Tổng chi phí xây dựng và chi phí thiết bị)</v>
      </c>
      <c r="C16" s="25"/>
      <c r="D16" s="100">
        <v>5</v>
      </c>
      <c r="E16" s="168">
        <v>6.0000000000000001E-3</v>
      </c>
      <c r="F16" s="168">
        <f t="shared" si="0"/>
        <v>6.0000000000000001E-3</v>
      </c>
      <c r="G16" s="28" t="s">
        <v>370</v>
      </c>
    </row>
    <row r="17" spans="1:7" ht="15" customHeight="1" x14ac:dyDescent="0.15">
      <c r="A17" s="242" t="str">
        <f>'TH kinh phí'!A50</f>
        <v>5.22</v>
      </c>
      <c r="B17" s="25" t="str">
        <f>'TH kinh phí'!B50</f>
        <v>Chi phí thẩm tra thiết kế xây dựng</v>
      </c>
      <c r="C17" s="25"/>
      <c r="D17" s="100">
        <v>10</v>
      </c>
      <c r="E17" s="168">
        <v>2.5799999999999998E-3</v>
      </c>
      <c r="F17" s="168">
        <f t="shared" si="0"/>
        <v>2.5799999999999998E-3</v>
      </c>
      <c r="G17" s="28" t="s">
        <v>370</v>
      </c>
    </row>
    <row r="18" spans="1:7" ht="15" customHeight="1" x14ac:dyDescent="0.15">
      <c r="A18" s="242" t="str">
        <f>'TH kinh phí'!A51</f>
        <v>5.23</v>
      </c>
      <c r="B18" s="25" t="str">
        <f>'TH kinh phí'!B51</f>
        <v>Chi phí thẩm tra thiết kế bản vẽ thi công</v>
      </c>
      <c r="C18" s="25"/>
      <c r="D18" s="100">
        <v>10</v>
      </c>
      <c r="E18" s="168">
        <v>2.5799999999999998E-3</v>
      </c>
      <c r="F18" s="168">
        <f t="shared" si="0"/>
        <v>2.5799999999999998E-3</v>
      </c>
      <c r="G18" s="28" t="s">
        <v>370</v>
      </c>
    </row>
    <row r="19" spans="1:7" ht="15" customHeight="1" x14ac:dyDescent="0.15">
      <c r="A19" s="242" t="str">
        <f>'TH kinh phí'!A52</f>
        <v>5.24</v>
      </c>
      <c r="B19" s="25" t="str">
        <f>'TH kinh phí'!B52</f>
        <v>Chi phí thẩm tra dự toán công trình</v>
      </c>
      <c r="C19" s="25"/>
      <c r="D19" s="100">
        <v>10</v>
      </c>
      <c r="E19" s="168">
        <v>2.5000000000000001E-3</v>
      </c>
      <c r="F19" s="168">
        <f t="shared" si="0"/>
        <v>2.5000000000000001E-3</v>
      </c>
      <c r="G19" s="28" t="s">
        <v>370</v>
      </c>
    </row>
    <row r="20" spans="1:7" ht="27.75" customHeight="1" x14ac:dyDescent="0.15">
      <c r="A20" s="242" t="str">
        <f>'TH kinh phí'!A53</f>
        <v>5.25</v>
      </c>
      <c r="B20" s="25" t="str">
        <f>'TH kinh phí'!B53</f>
        <v>Chi phí Lập hồ sơ mời thầu, đánh giá hồ sơ dự thầu thi công xây dựng</v>
      </c>
      <c r="C20" s="25"/>
      <c r="D20" s="100">
        <v>10</v>
      </c>
      <c r="E20" s="168">
        <v>4.3200000000000001E-3</v>
      </c>
      <c r="F20" s="168">
        <f t="shared" si="0"/>
        <v>4.3200000000000001E-3</v>
      </c>
      <c r="G20" s="28" t="s">
        <v>370</v>
      </c>
    </row>
    <row r="21" spans="1:7" ht="27.75" customHeight="1" x14ac:dyDescent="0.15">
      <c r="A21" s="242" t="str">
        <f>'TH kinh phí'!A64</f>
        <v>5.36</v>
      </c>
      <c r="B21" s="25" t="str">
        <f>'TH kinh phí'!B64</f>
        <v>Chi phí lập hồ sơ mời thầu, đánh giá hồ sơ dự thầu mua sắm thiết bị</v>
      </c>
      <c r="C21" s="25"/>
      <c r="D21" s="100">
        <v>10</v>
      </c>
      <c r="E21" s="168">
        <v>3.6700000000000001E-3</v>
      </c>
      <c r="F21" s="168">
        <f t="shared" si="0"/>
        <v>3.6700000000000001E-3</v>
      </c>
      <c r="G21" s="28" t="s">
        <v>370</v>
      </c>
    </row>
    <row r="22" spans="1:7" ht="15" customHeight="1" x14ac:dyDescent="0.15">
      <c r="A22" s="242" t="str">
        <f>'TH kinh phí'!A63</f>
        <v>5.35</v>
      </c>
      <c r="B22" s="25" t="str">
        <f>'TH kinh phí'!B63</f>
        <v>Chi phí giám sát thi công xây dựng</v>
      </c>
      <c r="C22" s="25"/>
      <c r="D22" s="100">
        <v>10</v>
      </c>
      <c r="E22" s="168">
        <v>3.2849999999999997E-2</v>
      </c>
      <c r="F22" s="168">
        <f t="shared" si="0"/>
        <v>3.2849999999999997E-2</v>
      </c>
      <c r="G22" s="28" t="s">
        <v>370</v>
      </c>
    </row>
    <row r="23" spans="1:7" ht="15" customHeight="1" x14ac:dyDescent="0.15">
      <c r="A23" s="242" t="str">
        <f>'TH kinh phí'!A67</f>
        <v>5.39</v>
      </c>
      <c r="B23" s="25" t="str">
        <f>'TH kinh phí'!B67</f>
        <v>Chi phí giám sát lắp đặt thiết bị</v>
      </c>
      <c r="C23" s="25"/>
      <c r="D23" s="100">
        <v>10</v>
      </c>
      <c r="E23" s="168">
        <v>8.4399999999999996E-3</v>
      </c>
      <c r="F23" s="168">
        <f t="shared" si="0"/>
        <v>8.4399999999999996E-3</v>
      </c>
      <c r="G23" s="28" t="s">
        <v>370</v>
      </c>
    </row>
    <row r="24" spans="1:7" ht="27.75" customHeight="1" x14ac:dyDescent="0.15">
      <c r="A24" s="242" t="str">
        <f>'TH kinh phí'!A74</f>
        <v>6.3</v>
      </c>
      <c r="B24" s="25" t="str">
        <f>'TH kinh phí'!B74</f>
        <v>Phí thẩm định thiết kế xây dựng triển khai sau thiết kế cơ sở (Thông tư 27/2023/TT-BTC)</v>
      </c>
      <c r="C24" s="25"/>
      <c r="D24" s="100">
        <v>15</v>
      </c>
      <c r="E24" s="168">
        <v>1.65E-3</v>
      </c>
      <c r="F24" s="168">
        <f t="shared" si="0"/>
        <v>1.65E-3</v>
      </c>
      <c r="G24" s="28" t="s">
        <v>571</v>
      </c>
    </row>
    <row r="25" spans="1:7" ht="27.75" customHeight="1" x14ac:dyDescent="0.15">
      <c r="A25" s="242" t="str">
        <f>'TH kinh phí'!A75</f>
        <v>6.4</v>
      </c>
      <c r="B25" s="25" t="str">
        <f>'TH kinh phí'!B75</f>
        <v>Phí thẩm định dự toán xây dựng (Thông tư 27/2023/TT-BTC)</v>
      </c>
      <c r="C25" s="25"/>
      <c r="D25" s="100">
        <v>15</v>
      </c>
      <c r="E25" s="168">
        <v>1.6000000000000001E-3</v>
      </c>
      <c r="F25" s="168">
        <f t="shared" si="0"/>
        <v>1.6000000000000001E-3</v>
      </c>
      <c r="G25" s="28" t="s">
        <v>571</v>
      </c>
    </row>
    <row r="26" spans="1:7" ht="27.75" customHeight="1" x14ac:dyDescent="0.15">
      <c r="A26" s="242" t="str">
        <f>'TH kinh phí'!A33</f>
        <v>5.5</v>
      </c>
      <c r="B26" s="25" t="str">
        <f>'TH kinh phí'!B33</f>
        <v>Chi phí Thẩm định báo cáo đánh giá tác động môi trường (Thông tư 38/2023/TT-BTC)</v>
      </c>
      <c r="C26" s="25"/>
      <c r="D26" s="100">
        <v>10000000000</v>
      </c>
      <c r="E26" s="100">
        <v>8000000</v>
      </c>
      <c r="F26" s="100">
        <f t="shared" si="0"/>
        <v>8000000</v>
      </c>
      <c r="G26" s="28" t="s">
        <v>776</v>
      </c>
    </row>
    <row r="27" spans="1:7" ht="15" customHeight="1" x14ac:dyDescent="0.15">
      <c r="A27" s="242" t="str">
        <f>'TH kinh phí'!A29</f>
        <v>5.3</v>
      </c>
      <c r="B27" s="25" t="str">
        <f>'TH kinh phí'!B29</f>
        <v>Chi phí giám sát công tác khảo sát xây dựng</v>
      </c>
      <c r="C27" s="25"/>
      <c r="D27" s="100">
        <v>1</v>
      </c>
      <c r="E27" s="168">
        <v>4.0719999999999999E-2</v>
      </c>
      <c r="F27" s="168">
        <f>ROUND(E27+('TH kinh phí'!G25/10^9-D27)*(E28-E27)/(D28-D27),7)</f>
        <v>3.9647500000000002E-2</v>
      </c>
      <c r="G27" s="28" t="s">
        <v>370</v>
      </c>
    </row>
    <row r="28" spans="1:7" ht="15" customHeight="1" x14ac:dyDescent="0.15">
      <c r="A28" s="109"/>
      <c r="B28" s="25"/>
      <c r="C28" s="25"/>
      <c r="D28" s="100">
        <v>5</v>
      </c>
      <c r="E28" s="168">
        <v>3.5409999999999997E-2</v>
      </c>
      <c r="F28" s="28"/>
      <c r="G28" s="28"/>
    </row>
    <row r="29" spans="1:7" ht="27.75" customHeight="1" x14ac:dyDescent="0.15">
      <c r="A29" s="242" t="str">
        <f>'TH kinh phí'!A68</f>
        <v>5.40</v>
      </c>
      <c r="B29" s="25" t="str">
        <f>'TH kinh phí'!B68</f>
        <v>Chi phí Lập hồ sơ mời thầu, đánh giá hồ sơ dự thầu tư vấn</v>
      </c>
      <c r="C29" s="25"/>
      <c r="D29" s="100">
        <v>1</v>
      </c>
      <c r="E29" s="168">
        <v>8.1600000000000006E-3</v>
      </c>
      <c r="F29" s="168">
        <f>ROUND(E29+('TH kinh phí'!L68/10^9-D29)*(E30-E29)/(D30-D29),7)</f>
        <v>7.0371000000000001E-3</v>
      </c>
      <c r="G29" s="28" t="s">
        <v>370</v>
      </c>
    </row>
    <row r="30" spans="1:7" ht="15" customHeight="1" x14ac:dyDescent="0.15">
      <c r="A30" s="109"/>
      <c r="B30" s="25"/>
      <c r="C30" s="25"/>
      <c r="D30" s="100">
        <v>3</v>
      </c>
      <c r="E30" s="168">
        <v>5.8300000000000001E-3</v>
      </c>
      <c r="F30" s="28"/>
      <c r="G30" s="28"/>
    </row>
    <row r="31" spans="1:7" ht="15.75" customHeight="1" x14ac:dyDescent="0.15">
      <c r="A31" s="242" t="str">
        <f>'TH kinh phí'!A83</f>
        <v>6.12</v>
      </c>
      <c r="B31" s="25" t="str">
        <f>'TH kinh phí'!B83</f>
        <v>Chi phí kiểm toán độc lập</v>
      </c>
      <c r="C31" s="25"/>
      <c r="D31" s="100">
        <v>5</v>
      </c>
      <c r="E31" s="168">
        <v>9.5999999999999992E-3</v>
      </c>
      <c r="F31" s="168">
        <f t="shared" ref="F31:F37" si="1">E31</f>
        <v>9.5999999999999992E-3</v>
      </c>
      <c r="G31" s="28" t="s">
        <v>604</v>
      </c>
    </row>
    <row r="32" spans="1:7" ht="15" customHeight="1" x14ac:dyDescent="0.15">
      <c r="A32" s="242" t="str">
        <f>'TH kinh phí'!A81</f>
        <v>6.10</v>
      </c>
      <c r="B32" s="25" t="str">
        <f>'TH kinh phí'!B81</f>
        <v>Chi phí thẩm tra, phê duyệt quyết toán</v>
      </c>
      <c r="C32" s="25"/>
      <c r="D32" s="100">
        <v>5</v>
      </c>
      <c r="E32" s="168">
        <v>5.7000000000000002E-3</v>
      </c>
      <c r="F32" s="168">
        <f t="shared" si="1"/>
        <v>5.7000000000000002E-3</v>
      </c>
      <c r="G32" s="28" t="s">
        <v>604</v>
      </c>
    </row>
    <row r="33" spans="1:7" ht="27.75" customHeight="1" x14ac:dyDescent="0.15">
      <c r="A33" s="242" t="str">
        <f>'TH kinh phí'!A76</f>
        <v>6.5</v>
      </c>
      <c r="B33" s="25" t="str">
        <f>'TH kinh phí'!B76</f>
        <v>Phí thẩm định dự án đầu tư xây dựng: 500.000 (đ)</v>
      </c>
      <c r="C33" s="25"/>
      <c r="D33" s="100">
        <v>15</v>
      </c>
      <c r="E33" s="168">
        <v>1.9000000000000001E-4</v>
      </c>
      <c r="F33" s="168">
        <f t="shared" si="1"/>
        <v>1.9000000000000001E-4</v>
      </c>
      <c r="G33" s="28" t="s">
        <v>589</v>
      </c>
    </row>
    <row r="34" spans="1:7" ht="15" customHeight="1" x14ac:dyDescent="0.15">
      <c r="A34" s="242" t="str">
        <f>'TH kinh phí'!A83</f>
        <v>6.12</v>
      </c>
      <c r="B34" s="25" t="str">
        <f>'TH kinh phí'!B83</f>
        <v>Chi phí kiểm toán độc lập</v>
      </c>
      <c r="C34" s="25"/>
      <c r="D34" s="100">
        <v>5</v>
      </c>
      <c r="E34" s="168">
        <v>9.5999999999999992E-3</v>
      </c>
      <c r="F34" s="168">
        <f t="shared" si="1"/>
        <v>9.5999999999999992E-3</v>
      </c>
      <c r="G34" s="28" t="s">
        <v>604</v>
      </c>
    </row>
    <row r="35" spans="1:7" ht="15" customHeight="1" x14ac:dyDescent="0.15">
      <c r="A35" s="242" t="str">
        <f>'TH kinh phí'!A81</f>
        <v>6.10</v>
      </c>
      <c r="B35" s="25" t="str">
        <f>'TH kinh phí'!B81</f>
        <v>Chi phí thẩm tra, phê duyệt quyết toán</v>
      </c>
      <c r="C35" s="25"/>
      <c r="D35" s="100">
        <v>5</v>
      </c>
      <c r="E35" s="168">
        <v>5.7000000000000002E-3</v>
      </c>
      <c r="F35" s="168">
        <f t="shared" si="1"/>
        <v>5.7000000000000002E-3</v>
      </c>
      <c r="G35" s="28" t="s">
        <v>604</v>
      </c>
    </row>
    <row r="36" spans="1:7" ht="27.75" customHeight="1" x14ac:dyDescent="0.15">
      <c r="A36" s="242" t="str">
        <f>'TH kinh phí'!A76</f>
        <v>6.5</v>
      </c>
      <c r="B36" s="25" t="str">
        <f>'TH kinh phí'!B76</f>
        <v>Phí thẩm định dự án đầu tư xây dựng: 500.000 (đ)</v>
      </c>
      <c r="C36" s="25"/>
      <c r="D36" s="100">
        <v>15</v>
      </c>
      <c r="E36" s="168">
        <v>1.9000000000000001E-4</v>
      </c>
      <c r="F36" s="168">
        <f t="shared" si="1"/>
        <v>1.9000000000000001E-4</v>
      </c>
      <c r="G36" s="28"/>
    </row>
    <row r="37" spans="1:7" ht="27.75" customHeight="1" x14ac:dyDescent="0.15">
      <c r="A37" s="243" t="str">
        <f>'TH kinh phí'!A79</f>
        <v>6.8</v>
      </c>
      <c r="B37" s="37" t="str">
        <f>'TH kinh phí'!B79</f>
        <v>Phí thẩm định phê duyệt thiết kế về phòng cháy và chữa cháy: 500.000 (đ)</v>
      </c>
      <c r="C37" s="37"/>
      <c r="D37" s="105">
        <v>15</v>
      </c>
      <c r="E37" s="169">
        <v>4.8399999999999997E-5</v>
      </c>
      <c r="F37" s="169">
        <f t="shared" si="1"/>
        <v>4.8399999999999997E-5</v>
      </c>
      <c r="G37" s="62" t="s">
        <v>594</v>
      </c>
    </row>
  </sheetData>
  <mergeCells count="1">
    <mergeCell ref="A1:E1"/>
  </mergeCells>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
  <sheetViews>
    <sheetView workbookViewId="0"/>
  </sheetViews>
  <sheetFormatPr defaultColWidth="10" defaultRowHeight="15" customHeight="1" x14ac:dyDescent="0.15"/>
  <cols>
    <col min="1" max="2" width="10" style="244" customWidth="1"/>
    <col min="3" max="16384" width="10" style="244"/>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
  <sheetViews>
    <sheetView workbookViewId="0"/>
  </sheetViews>
  <sheetFormatPr defaultColWidth="10" defaultRowHeight="15" customHeight="1" x14ac:dyDescent="0.15"/>
  <cols>
    <col min="1" max="13" width="10" style="51" customWidth="1"/>
    <col min="14"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
  <sheetViews>
    <sheetView workbookViewId="0"/>
  </sheetViews>
  <sheetFormatPr defaultColWidth="10" defaultRowHeight="15" customHeight="1" x14ac:dyDescent="0.15"/>
  <cols>
    <col min="1" max="2" width="10" style="51" customWidth="1"/>
    <col min="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
  <sheetViews>
    <sheetView workbookViewId="0"/>
  </sheetViews>
  <sheetFormatPr defaultColWidth="10" defaultRowHeight="15" customHeight="1" x14ac:dyDescent="0.15"/>
  <cols>
    <col min="1" max="2" width="10" style="51" customWidth="1"/>
    <col min="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
  <sheetViews>
    <sheetView workbookViewId="0"/>
  </sheetViews>
  <sheetFormatPr defaultColWidth="10" defaultRowHeight="15" customHeight="1" x14ac:dyDescent="0.15"/>
  <cols>
    <col min="1" max="2" width="10" style="51" customWidth="1"/>
    <col min="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
  <sheetViews>
    <sheetView workbookViewId="0"/>
  </sheetViews>
  <sheetFormatPr defaultColWidth="10" defaultRowHeight="15" customHeight="1" x14ac:dyDescent="0.15"/>
  <cols>
    <col min="1" max="21" width="10" style="51" customWidth="1"/>
    <col min="22"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
  <sheetViews>
    <sheetView workbookViewId="0"/>
  </sheetViews>
  <sheetFormatPr defaultColWidth="10" defaultRowHeight="15" customHeight="1" x14ac:dyDescent="0.15"/>
  <cols>
    <col min="1" max="23" width="10" style="51" customWidth="1"/>
    <col min="24"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
  <sheetViews>
    <sheetView workbookViewId="0"/>
  </sheetViews>
  <sheetFormatPr defaultColWidth="10" defaultRowHeight="15" customHeight="1" x14ac:dyDescent="0.15"/>
  <cols>
    <col min="1" max="16" width="10" style="51" customWidth="1"/>
    <col min="17" max="16384" width="10" style="51"/>
  </cols>
  <sheetData/>
  <pageMargins left="1.0208333333333333" right="0" top="4.1666666666666664E-2" bottom="0.20833333333333334" header="0.57291666666666663" footer="0.40625"/>
  <pageSetup paperSize="0" orientation="landscape" blackAndWhite="1" useFirstPageNumber="1"/>
  <headerFooter>
    <oddFooter>&amp;C&amp;P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
  <sheetViews>
    <sheetView workbookViewId="0"/>
  </sheetViews>
  <sheetFormatPr defaultColWidth="10" defaultRowHeight="15" customHeight="1" x14ac:dyDescent="0.15"/>
  <cols>
    <col min="1" max="22" width="10" style="51" customWidth="1"/>
    <col min="23" max="16384" width="10" style="51"/>
  </cols>
  <sheetData/>
  <pageMargins left="0.65625" right="0" top="4.1666666666666664E-2" bottom="0.20833333333333334" header="0.57291666666666663" footer="0.40625"/>
  <pageSetup paperSize="0" orientation="landscape" blackAndWhite="1" useFirstPageNumber="1"/>
  <headerFooter>
    <oddFooter>&amp;C&amp;P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E1:Z1"/>
  <sheetViews>
    <sheetView workbookViewId="0"/>
  </sheetViews>
  <sheetFormatPr defaultColWidth="10" defaultRowHeight="15" customHeight="1" x14ac:dyDescent="0.15"/>
  <cols>
    <col min="1" max="4" width="10" style="51" customWidth="1"/>
    <col min="5" max="7" width="10" style="51" hidden="1" customWidth="1"/>
    <col min="8" max="13" width="10" style="51" customWidth="1"/>
    <col min="14" max="14" width="10" style="51" hidden="1" customWidth="1"/>
    <col min="15" max="16" width="10" style="51" customWidth="1"/>
    <col min="17" max="17" width="10" style="51" hidden="1" customWidth="1"/>
    <col min="18" max="18" width="10" style="51" customWidth="1"/>
    <col min="19" max="20" width="10" style="51" hidden="1" customWidth="1"/>
    <col min="21" max="22" width="10" style="51" customWidth="1"/>
    <col min="23" max="26" width="10" style="51" hidden="1" customWidth="1"/>
    <col min="27" max="32" width="10" style="51" customWidth="1"/>
    <col min="33"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10" defaultRowHeight="15" customHeight="1" x14ac:dyDescent="0.15"/>
  <cols>
    <col min="1" max="16" width="10" style="51" customWidth="1"/>
    <col min="17"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F1:L1"/>
  <sheetViews>
    <sheetView workbookViewId="0"/>
  </sheetViews>
  <sheetFormatPr defaultColWidth="10" defaultRowHeight="15" customHeight="1" x14ac:dyDescent="0.15"/>
  <cols>
    <col min="1" max="5" width="10" style="51" customWidth="1"/>
    <col min="6" max="8" width="10" style="51" hidden="1" customWidth="1"/>
    <col min="9" max="10" width="10" style="51" customWidth="1"/>
    <col min="11" max="12" width="10" style="51" hidden="1" customWidth="1"/>
    <col min="13" max="16" width="10" style="51" customWidth="1"/>
    <col min="17"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
  <sheetViews>
    <sheetView workbookViewId="0"/>
  </sheetViews>
  <sheetFormatPr defaultColWidth="10" defaultRowHeight="15" customHeight="1" x14ac:dyDescent="0.15"/>
  <cols>
    <col min="1" max="14" width="10" style="51" customWidth="1"/>
    <col min="15"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
  <sheetViews>
    <sheetView workbookViewId="0"/>
  </sheetViews>
  <sheetFormatPr defaultColWidth="10" defaultRowHeight="15" customHeight="1" x14ac:dyDescent="0.15"/>
  <cols>
    <col min="1" max="7" width="10" style="51" customWidth="1"/>
    <col min="8" max="16384" width="10" style="51"/>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
  <sheetViews>
    <sheetView workbookViewId="0"/>
  </sheetViews>
  <sheetFormatPr defaultColWidth="10" defaultRowHeight="15" customHeight="1" x14ac:dyDescent="0.15"/>
  <cols>
    <col min="1" max="2" width="10" style="51" customWidth="1"/>
    <col min="3" max="16384" width="10" style="51"/>
  </cols>
  <sheetData/>
  <pageMargins left="0.82291666666666663" right="0" top="4.1666666666666664E-2" bottom="0.20833333333333334" header="0.57291666666666663" footer="0.40625"/>
  <pageSetup paperSize="0" orientation="landscape" blackAndWhite="1" useFirstPageNumber="1"/>
  <headerFooter>
    <oddFooter>&amp;C&amp;P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
  <sheetViews>
    <sheetView workbookViewId="0"/>
  </sheetViews>
  <sheetFormatPr defaultColWidth="10" defaultRowHeight="15" customHeight="1" x14ac:dyDescent="0.15"/>
  <cols>
    <col min="1" max="2" width="10" style="51" customWidth="1"/>
    <col min="3" max="16384" width="10" style="51"/>
  </cols>
  <sheetData/>
  <pageMargins left="0.20833333333333334" right="0" top="4.1666666666666664E-2" bottom="0.20833333333333334" header="0.57291666666666663" footer="0.40625"/>
  <pageSetup paperSize="0" orientation="landscape" blackAndWhite="1" useFirstPageNumber="1"/>
  <headerFooter>
    <oddFooter>&amp;C&amp;P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
  <sheetViews>
    <sheetView workbookViewId="0"/>
  </sheetViews>
  <sheetFormatPr defaultColWidth="10" defaultRowHeight="15" customHeight="1" x14ac:dyDescent="0.15"/>
  <sheetData/>
  <sheetProtection sheet="1"/>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
  <sheetViews>
    <sheetView workbookViewId="0"/>
  </sheetViews>
  <sheetFormatPr defaultColWidth="10" defaultRowHeight="15" customHeight="1" x14ac:dyDescent="0.15"/>
  <cols>
    <col min="1" max="2" width="10" style="245" customWidth="1"/>
    <col min="3" max="16384" width="10" style="245"/>
  </cols>
  <sheetData/>
  <pageMargins left="1.2291666666666667" right="0" top="4.1666666666666664E-2" bottom="0.20833333333333334" header="0.57291666666666663" footer="0.40625"/>
  <pageSetup paperSize="0" orientation="landscape" blackAndWhite="1" useFirstPageNumber="1"/>
  <headerFooter>
    <oddFooter>&amp;C&amp;P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80"/>
  <sheetViews>
    <sheetView workbookViewId="0"/>
  </sheetViews>
  <sheetFormatPr defaultColWidth="10" defaultRowHeight="15" customHeight="1" x14ac:dyDescent="0.15"/>
  <cols>
    <col min="1" max="1" width="24.6640625" style="246" customWidth="1"/>
    <col min="2" max="3" width="29" style="246" customWidth="1"/>
    <col min="4" max="4" width="26.6640625" style="246" customWidth="1"/>
    <col min="5" max="5" width="22.83203125" style="246" customWidth="1"/>
    <col min="6" max="6" width="27.83203125" style="246" customWidth="1"/>
    <col min="7" max="7" width="26" style="246" customWidth="1"/>
    <col min="8" max="8" width="26.33203125" style="246" customWidth="1"/>
    <col min="9" max="9" width="20.33203125" style="246" customWidth="1"/>
    <col min="10" max="10" width="33.83203125" style="246" customWidth="1"/>
    <col min="11" max="11" width="18" style="246" customWidth="1"/>
    <col min="12" max="12" width="14.83203125" style="246" customWidth="1"/>
    <col min="13" max="13" width="11.6640625" style="246" customWidth="1"/>
    <col min="14" max="14" width="16.33203125" style="246" customWidth="1"/>
    <col min="15" max="15" width="17" style="246" customWidth="1"/>
    <col min="16" max="16" width="21.5" style="246" customWidth="1"/>
    <col min="17" max="17" width="12.6640625" style="246" customWidth="1"/>
    <col min="18" max="18" width="12.5" style="246" customWidth="1"/>
    <col min="19" max="19" width="20" style="246" customWidth="1"/>
    <col min="20" max="20" width="20.83203125" style="246" customWidth="1"/>
    <col min="21" max="21" width="13.83203125" style="246" customWidth="1"/>
    <col min="22" max="22" width="14.6640625" style="246" customWidth="1"/>
    <col min="23" max="25" width="10" style="246" customWidth="1"/>
    <col min="26" max="16384" width="10" style="246"/>
  </cols>
  <sheetData>
    <row r="1" spans="1:23" ht="15" customHeight="1" x14ac:dyDescent="0.15">
      <c r="A1" s="341" t="s">
        <v>777</v>
      </c>
      <c r="B1" s="340"/>
      <c r="C1" s="340"/>
      <c r="D1" s="340"/>
      <c r="E1" s="340"/>
      <c r="F1" s="340"/>
    </row>
    <row r="2" spans="1:23" ht="15" customHeight="1" x14ac:dyDescent="0.15">
      <c r="A2" s="247" t="s">
        <v>758</v>
      </c>
      <c r="B2" s="246" t="s">
        <v>233</v>
      </c>
      <c r="C2" s="246" t="s">
        <v>239</v>
      </c>
      <c r="D2" s="246" t="s">
        <v>243</v>
      </c>
      <c r="E2" s="246" t="s">
        <v>778</v>
      </c>
      <c r="F2" s="246" t="s">
        <v>779</v>
      </c>
      <c r="G2" s="246" t="s">
        <v>780</v>
      </c>
      <c r="H2" s="246" t="s">
        <v>781</v>
      </c>
      <c r="I2" s="246" t="s">
        <v>782</v>
      </c>
      <c r="J2" s="246" t="s">
        <v>783</v>
      </c>
      <c r="K2" s="246" t="s">
        <v>784</v>
      </c>
      <c r="L2" s="246" t="s">
        <v>785</v>
      </c>
      <c r="M2" s="246" t="s">
        <v>786</v>
      </c>
      <c r="N2" s="246" t="s">
        <v>787</v>
      </c>
      <c r="O2" s="246" t="s">
        <v>788</v>
      </c>
      <c r="P2" s="246" t="s">
        <v>789</v>
      </c>
      <c r="Q2" s="246" t="s">
        <v>790</v>
      </c>
      <c r="R2" s="246" t="s">
        <v>791</v>
      </c>
      <c r="S2" s="246" t="s">
        <v>792</v>
      </c>
      <c r="T2" s="246" t="s">
        <v>793</v>
      </c>
      <c r="U2" s="246" t="s">
        <v>794</v>
      </c>
      <c r="V2" s="246" t="s">
        <v>795</v>
      </c>
      <c r="W2" s="246" t="s">
        <v>796</v>
      </c>
    </row>
    <row r="3" spans="1:23" ht="15" customHeight="1" x14ac:dyDescent="0.15">
      <c r="A3" s="246" t="s">
        <v>797</v>
      </c>
      <c r="B3" s="246" t="s">
        <v>798</v>
      </c>
      <c r="C3" s="246" t="s">
        <v>799</v>
      </c>
      <c r="D3" s="246" t="s">
        <v>800</v>
      </c>
      <c r="E3" s="246" t="s">
        <v>801</v>
      </c>
      <c r="F3" s="246" t="s">
        <v>802</v>
      </c>
      <c r="G3" s="246" t="s">
        <v>803</v>
      </c>
      <c r="H3" s="246" t="s">
        <v>804</v>
      </c>
      <c r="I3" s="246" t="s">
        <v>805</v>
      </c>
      <c r="J3" s="246" t="s">
        <v>806</v>
      </c>
      <c r="K3" s="246" t="s">
        <v>807</v>
      </c>
      <c r="L3" s="246" t="s">
        <v>808</v>
      </c>
      <c r="M3" s="246" t="s">
        <v>809</v>
      </c>
      <c r="N3" s="246" t="s">
        <v>810</v>
      </c>
    </row>
    <row r="4" spans="1:23" ht="15" customHeight="1" x14ac:dyDescent="0.15">
      <c r="A4" s="246" t="s">
        <v>780</v>
      </c>
      <c r="B4" s="246" t="s">
        <v>783</v>
      </c>
      <c r="C4" s="246" t="s">
        <v>786</v>
      </c>
      <c r="D4" s="246" t="s">
        <v>789</v>
      </c>
      <c r="E4" s="246" t="s">
        <v>792</v>
      </c>
      <c r="F4" s="246" t="s">
        <v>811</v>
      </c>
      <c r="G4" s="246" t="s">
        <v>812</v>
      </c>
      <c r="H4" s="246" t="s">
        <v>813</v>
      </c>
      <c r="I4" s="246" t="s">
        <v>814</v>
      </c>
      <c r="J4" s="246" t="s">
        <v>815</v>
      </c>
      <c r="K4" s="246" t="s">
        <v>816</v>
      </c>
      <c r="L4" s="246" t="s">
        <v>817</v>
      </c>
    </row>
    <row r="5" spans="1:23" ht="15" customHeight="1" x14ac:dyDescent="0.15">
      <c r="A5" s="340" t="s">
        <v>818</v>
      </c>
      <c r="B5" s="340"/>
      <c r="C5" s="340"/>
      <c r="D5" s="340"/>
      <c r="E5" s="340"/>
      <c r="F5" s="340"/>
    </row>
    <row r="6" spans="1:23" ht="15" customHeight="1" x14ac:dyDescent="0.15">
      <c r="A6" s="246" t="s">
        <v>819</v>
      </c>
      <c r="B6" s="246" t="s">
        <v>820</v>
      </c>
      <c r="C6" s="246" t="s">
        <v>821</v>
      </c>
      <c r="D6" s="246" t="s">
        <v>822</v>
      </c>
      <c r="E6" s="246" t="s">
        <v>823</v>
      </c>
      <c r="F6" s="246" t="s">
        <v>824</v>
      </c>
      <c r="G6" s="246" t="s">
        <v>825</v>
      </c>
      <c r="H6" s="246" t="s">
        <v>826</v>
      </c>
      <c r="I6" s="246" t="s">
        <v>827</v>
      </c>
      <c r="J6" s="246" t="s">
        <v>828</v>
      </c>
      <c r="K6" s="246" t="s">
        <v>829</v>
      </c>
    </row>
    <row r="7" spans="1:23" ht="17.25" customHeight="1" x14ac:dyDescent="0.15">
      <c r="A7" s="246" t="s">
        <v>2</v>
      </c>
      <c r="E7" s="248" t="s">
        <v>233</v>
      </c>
      <c r="F7" s="246" t="s">
        <v>233</v>
      </c>
      <c r="G7" s="246" t="s">
        <v>243</v>
      </c>
      <c r="H7" s="246" t="s">
        <v>239</v>
      </c>
      <c r="I7" s="246" t="str">
        <f>""</f>
        <v/>
      </c>
      <c r="J7" s="249" t="s">
        <v>796</v>
      </c>
      <c r="K7" s="246" t="s">
        <v>767</v>
      </c>
      <c r="L7" s="246" t="s">
        <v>233</v>
      </c>
      <c r="M7" s="246" t="s">
        <v>233</v>
      </c>
      <c r="N7" s="246" t="s">
        <v>233</v>
      </c>
      <c r="O7" s="246" t="s">
        <v>830</v>
      </c>
    </row>
    <row r="8" spans="1:23" ht="15" customHeight="1" x14ac:dyDescent="0.15">
      <c r="A8" s="341" t="s">
        <v>831</v>
      </c>
      <c r="B8" s="340"/>
      <c r="C8" s="340"/>
      <c r="D8" s="340"/>
      <c r="E8" s="340"/>
      <c r="F8" s="340"/>
    </row>
    <row r="9" spans="1:23" ht="15" customHeight="1" x14ac:dyDescent="0.15">
      <c r="A9" s="246" t="s">
        <v>832</v>
      </c>
      <c r="B9" s="246" t="s">
        <v>36</v>
      </c>
      <c r="C9" s="246" t="s">
        <v>833</v>
      </c>
      <c r="D9" s="246" t="s">
        <v>834</v>
      </c>
      <c r="E9" s="246" t="s">
        <v>835</v>
      </c>
    </row>
    <row r="10" spans="1:23" ht="15" customHeight="1" x14ac:dyDescent="0.15">
      <c r="A10" s="246" t="s">
        <v>49</v>
      </c>
      <c r="B10" s="246" t="s">
        <v>58</v>
      </c>
      <c r="C10" s="246" t="s">
        <v>836</v>
      </c>
      <c r="D10" s="246" t="s">
        <v>837</v>
      </c>
    </row>
    <row r="11" spans="1:23" ht="15" customHeight="1" x14ac:dyDescent="0.15">
      <c r="A11" s="340" t="s">
        <v>799</v>
      </c>
      <c r="B11" s="340"/>
      <c r="C11" s="340"/>
      <c r="D11" s="340"/>
      <c r="E11" s="340"/>
      <c r="F11" s="340"/>
    </row>
    <row r="12" spans="1:23" ht="15" customHeight="1" x14ac:dyDescent="0.15">
      <c r="A12" s="246" t="s">
        <v>838</v>
      </c>
      <c r="B12" s="246" t="s">
        <v>839</v>
      </c>
      <c r="C12" s="246" t="s">
        <v>840</v>
      </c>
    </row>
    <row r="14" spans="1:23" ht="15" customHeight="1" x14ac:dyDescent="0.15">
      <c r="A14" s="340" t="s">
        <v>800</v>
      </c>
      <c r="B14" s="340"/>
      <c r="C14" s="340"/>
      <c r="D14" s="340"/>
      <c r="E14" s="340"/>
      <c r="F14" s="340"/>
    </row>
    <row r="15" spans="1:23" ht="15" customHeight="1" x14ac:dyDescent="0.15">
      <c r="A15" s="246" t="s">
        <v>824</v>
      </c>
      <c r="B15" s="246" t="s">
        <v>841</v>
      </c>
      <c r="C15" s="246" t="s">
        <v>842</v>
      </c>
    </row>
    <row r="17" spans="1:6" ht="15" customHeight="1" x14ac:dyDescent="0.15">
      <c r="A17" s="340" t="s">
        <v>801</v>
      </c>
      <c r="B17" s="340"/>
      <c r="C17" s="340"/>
      <c r="D17" s="340"/>
      <c r="E17" s="340"/>
      <c r="F17" s="340"/>
    </row>
    <row r="18" spans="1:6" ht="15" customHeight="1" x14ac:dyDescent="0.15">
      <c r="A18" s="246" t="s">
        <v>843</v>
      </c>
      <c r="B18" s="246" t="s">
        <v>844</v>
      </c>
    </row>
    <row r="19" spans="1:6" ht="15" customHeight="1" x14ac:dyDescent="0.15">
      <c r="A19" s="246" t="s">
        <v>845</v>
      </c>
      <c r="B19" s="246" t="s">
        <v>0</v>
      </c>
    </row>
    <row r="20" spans="1:6" ht="15" customHeight="1" x14ac:dyDescent="0.15">
      <c r="A20" s="246" t="s">
        <v>846</v>
      </c>
      <c r="B20" s="246" t="s">
        <v>63</v>
      </c>
    </row>
    <row r="21" spans="1:6" ht="15" customHeight="1" x14ac:dyDescent="0.15">
      <c r="A21" s="246" t="s">
        <v>847</v>
      </c>
      <c r="B21" s="246" t="s">
        <v>848</v>
      </c>
    </row>
    <row r="22" spans="1:6" ht="15" customHeight="1" x14ac:dyDescent="0.15">
      <c r="A22" s="246" t="s">
        <v>849</v>
      </c>
      <c r="B22" s="246" t="s">
        <v>210</v>
      </c>
    </row>
    <row r="23" spans="1:6" ht="15" customHeight="1" x14ac:dyDescent="0.15">
      <c r="A23" s="246" t="s">
        <v>850</v>
      </c>
      <c r="B23" s="246" t="s">
        <v>851</v>
      </c>
    </row>
    <row r="24" spans="1:6" ht="15" customHeight="1" x14ac:dyDescent="0.15">
      <c r="A24" s="246" t="s">
        <v>852</v>
      </c>
      <c r="B24" s="246" t="s">
        <v>853</v>
      </c>
    </row>
    <row r="25" spans="1:6" ht="15" customHeight="1" x14ac:dyDescent="0.15">
      <c r="A25" s="246" t="s">
        <v>854</v>
      </c>
      <c r="B25" s="246" t="s">
        <v>223</v>
      </c>
    </row>
    <row r="26" spans="1:6" ht="15" customHeight="1" x14ac:dyDescent="0.15">
      <c r="A26" s="246" t="s">
        <v>855</v>
      </c>
      <c r="B26" s="246" t="s">
        <v>298</v>
      </c>
    </row>
    <row r="27" spans="1:6" ht="15" customHeight="1" x14ac:dyDescent="0.15">
      <c r="A27" s="246" t="s">
        <v>856</v>
      </c>
      <c r="B27" s="246" t="s">
        <v>289</v>
      </c>
    </row>
    <row r="28" spans="1:6" ht="15" customHeight="1" x14ac:dyDescent="0.15">
      <c r="A28" s="246" t="s">
        <v>857</v>
      </c>
      <c r="B28" s="246" t="s">
        <v>327</v>
      </c>
    </row>
    <row r="29" spans="1:6" ht="15" customHeight="1" x14ac:dyDescent="0.15">
      <c r="A29" s="246" t="s">
        <v>838</v>
      </c>
      <c r="B29" s="246" t="s">
        <v>683</v>
      </c>
    </row>
    <row r="30" spans="1:6" ht="15" customHeight="1" x14ac:dyDescent="0.15">
      <c r="A30" s="246" t="s">
        <v>858</v>
      </c>
      <c r="B30" s="246" t="s">
        <v>697</v>
      </c>
    </row>
    <row r="31" spans="1:6" ht="15" customHeight="1" x14ac:dyDescent="0.15">
      <c r="A31" s="246" t="s">
        <v>859</v>
      </c>
      <c r="B31" s="246" t="s">
        <v>736</v>
      </c>
    </row>
    <row r="32" spans="1:6" ht="15" customHeight="1" x14ac:dyDescent="0.15">
      <c r="A32" s="246" t="s">
        <v>860</v>
      </c>
      <c r="B32" s="246" t="s">
        <v>861</v>
      </c>
    </row>
    <row r="33" spans="1:7" ht="15" customHeight="1" x14ac:dyDescent="0.15">
      <c r="A33" s="340" t="s">
        <v>802</v>
      </c>
      <c r="B33" s="340"/>
      <c r="C33" s="340"/>
      <c r="D33" s="340"/>
      <c r="E33" s="340"/>
      <c r="F33" s="340"/>
    </row>
    <row r="34" spans="1:7" ht="15" customHeight="1" x14ac:dyDescent="0.15">
      <c r="A34" s="246" t="s">
        <v>862</v>
      </c>
      <c r="B34" s="246" t="s">
        <v>863</v>
      </c>
      <c r="C34" s="246" t="s">
        <v>864</v>
      </c>
      <c r="D34" s="246" t="s">
        <v>865</v>
      </c>
      <c r="E34" s="246" t="s">
        <v>866</v>
      </c>
      <c r="F34" s="246" t="s">
        <v>867</v>
      </c>
      <c r="G34" s="246" t="s">
        <v>868</v>
      </c>
    </row>
    <row r="35" spans="1:7" ht="15" customHeight="1" x14ac:dyDescent="0.15">
      <c r="A35" s="246" t="s">
        <v>869</v>
      </c>
      <c r="B35" s="246" t="s">
        <v>870</v>
      </c>
      <c r="C35" s="246" t="s">
        <v>785</v>
      </c>
      <c r="D35" s="246" t="s">
        <v>758</v>
      </c>
      <c r="E35" s="246" t="s">
        <v>758</v>
      </c>
      <c r="F35" s="246" t="s">
        <v>758</v>
      </c>
      <c r="G35" s="246" t="s">
        <v>758</v>
      </c>
    </row>
    <row r="36" spans="1:7" ht="15" customHeight="1" x14ac:dyDescent="0.15">
      <c r="A36" s="246" t="s">
        <v>871</v>
      </c>
      <c r="B36" s="246" t="s">
        <v>870</v>
      </c>
      <c r="C36" s="246" t="s">
        <v>785</v>
      </c>
      <c r="D36" s="246" t="s">
        <v>758</v>
      </c>
      <c r="E36" s="246" t="s">
        <v>758</v>
      </c>
      <c r="F36" s="246" t="s">
        <v>758</v>
      </c>
      <c r="G36" s="246" t="s">
        <v>758</v>
      </c>
    </row>
    <row r="37" spans="1:7" ht="15" customHeight="1" x14ac:dyDescent="0.15">
      <c r="A37" s="246" t="s">
        <v>872</v>
      </c>
      <c r="B37" s="246" t="s">
        <v>870</v>
      </c>
      <c r="C37" s="246" t="s">
        <v>784</v>
      </c>
      <c r="D37" s="246" t="s">
        <v>233</v>
      </c>
      <c r="E37" s="246" t="s">
        <v>758</v>
      </c>
      <c r="F37" s="246" t="s">
        <v>758</v>
      </c>
      <c r="G37" s="246" t="s">
        <v>758</v>
      </c>
    </row>
    <row r="38" spans="1:7" ht="15" customHeight="1" x14ac:dyDescent="0.15">
      <c r="A38" s="246" t="s">
        <v>807</v>
      </c>
      <c r="B38" s="246" t="s">
        <v>870</v>
      </c>
      <c r="C38" s="246" t="s">
        <v>784</v>
      </c>
      <c r="D38" s="246" t="s">
        <v>233</v>
      </c>
      <c r="E38" s="246" t="s">
        <v>758</v>
      </c>
      <c r="F38" s="246" t="s">
        <v>758</v>
      </c>
      <c r="G38" s="246" t="s">
        <v>758</v>
      </c>
    </row>
    <row r="39" spans="1:7" ht="15" customHeight="1" x14ac:dyDescent="0.15">
      <c r="A39" s="246" t="s">
        <v>873</v>
      </c>
      <c r="B39" s="246" t="s">
        <v>870</v>
      </c>
      <c r="C39" s="246" t="s">
        <v>785</v>
      </c>
      <c r="D39" s="246" t="s">
        <v>233</v>
      </c>
      <c r="E39" s="246" t="s">
        <v>758</v>
      </c>
      <c r="F39" s="246" t="s">
        <v>758</v>
      </c>
      <c r="G39" s="246" t="s">
        <v>758</v>
      </c>
    </row>
    <row r="40" spans="1:7" ht="15" customHeight="1" x14ac:dyDescent="0.15">
      <c r="A40" s="246" t="s">
        <v>874</v>
      </c>
      <c r="B40" s="246" t="s">
        <v>870</v>
      </c>
      <c r="C40" s="246" t="s">
        <v>785</v>
      </c>
      <c r="D40" s="246" t="s">
        <v>233</v>
      </c>
      <c r="E40" s="246" t="s">
        <v>758</v>
      </c>
      <c r="F40" s="246" t="s">
        <v>758</v>
      </c>
      <c r="G40" s="246" t="s">
        <v>758</v>
      </c>
    </row>
    <row r="41" spans="1:7" ht="15" customHeight="1" x14ac:dyDescent="0.15">
      <c r="A41" s="246" t="s">
        <v>819</v>
      </c>
      <c r="B41" s="246" t="s">
        <v>870</v>
      </c>
      <c r="C41" s="246" t="s">
        <v>786</v>
      </c>
      <c r="D41" s="246" t="s">
        <v>233</v>
      </c>
      <c r="E41" s="246" t="s">
        <v>758</v>
      </c>
      <c r="F41" s="246" t="s">
        <v>758</v>
      </c>
      <c r="G41" s="246" t="s">
        <v>758</v>
      </c>
    </row>
    <row r="42" spans="1:7" ht="15" customHeight="1" x14ac:dyDescent="0.15">
      <c r="A42" s="246" t="s">
        <v>875</v>
      </c>
      <c r="B42" s="246" t="s">
        <v>870</v>
      </c>
      <c r="C42" s="246" t="s">
        <v>789</v>
      </c>
      <c r="D42" s="246" t="s">
        <v>233</v>
      </c>
      <c r="E42" s="246" t="s">
        <v>758</v>
      </c>
      <c r="F42" s="246" t="s">
        <v>758</v>
      </c>
      <c r="G42" s="246" t="s">
        <v>758</v>
      </c>
    </row>
    <row r="43" spans="1:7" ht="15" customHeight="1" x14ac:dyDescent="0.15">
      <c r="A43" s="340" t="s">
        <v>803</v>
      </c>
      <c r="B43" s="340"/>
      <c r="C43" s="340"/>
      <c r="D43" s="340"/>
      <c r="E43" s="340"/>
      <c r="F43" s="340"/>
    </row>
    <row r="44" spans="1:7" ht="15" customHeight="1" x14ac:dyDescent="0.15">
      <c r="A44" s="246" t="s">
        <v>862</v>
      </c>
      <c r="B44" s="246" t="s">
        <v>876</v>
      </c>
      <c r="C44" s="246" t="s">
        <v>877</v>
      </c>
      <c r="D44" s="246" t="s">
        <v>271</v>
      </c>
      <c r="E44" s="246" t="s">
        <v>878</v>
      </c>
    </row>
    <row r="45" spans="1:7" ht="15" customHeight="1" x14ac:dyDescent="0.15">
      <c r="A45" s="246" t="s">
        <v>869</v>
      </c>
      <c r="B45" s="246" t="s">
        <v>879</v>
      </c>
      <c r="C45" s="246" t="s">
        <v>758</v>
      </c>
      <c r="D45" s="246" t="s">
        <v>758</v>
      </c>
      <c r="E45" s="246" t="s">
        <v>758</v>
      </c>
    </row>
    <row r="46" spans="1:7" ht="15" customHeight="1" x14ac:dyDescent="0.15">
      <c r="A46" s="246" t="s">
        <v>871</v>
      </c>
      <c r="B46" s="246" t="s">
        <v>879</v>
      </c>
      <c r="C46" s="246" t="s">
        <v>758</v>
      </c>
      <c r="D46" s="246" t="s">
        <v>758</v>
      </c>
      <c r="E46" s="246" t="s">
        <v>879</v>
      </c>
    </row>
    <row r="47" spans="1:7" ht="15" customHeight="1" x14ac:dyDescent="0.15">
      <c r="A47" s="246" t="s">
        <v>880</v>
      </c>
      <c r="B47" s="246" t="s">
        <v>879</v>
      </c>
      <c r="C47" s="246" t="s">
        <v>879</v>
      </c>
      <c r="D47" s="246" t="s">
        <v>758</v>
      </c>
      <c r="E47" s="246" t="s">
        <v>758</v>
      </c>
    </row>
    <row r="48" spans="1:7" ht="15" customHeight="1" x14ac:dyDescent="0.15">
      <c r="A48" s="246" t="s">
        <v>17</v>
      </c>
      <c r="B48" s="246" t="s">
        <v>879</v>
      </c>
      <c r="C48" s="246" t="s">
        <v>758</v>
      </c>
      <c r="D48" s="246" t="s">
        <v>758</v>
      </c>
      <c r="E48" s="246" t="s">
        <v>879</v>
      </c>
    </row>
    <row r="49" spans="1:9" ht="15" customHeight="1" x14ac:dyDescent="0.15">
      <c r="A49" s="246" t="s">
        <v>881</v>
      </c>
      <c r="B49" s="246" t="s">
        <v>879</v>
      </c>
      <c r="C49" s="246" t="s">
        <v>882</v>
      </c>
      <c r="D49" s="246" t="s">
        <v>883</v>
      </c>
      <c r="E49" s="246" t="s">
        <v>883</v>
      </c>
    </row>
    <row r="50" spans="1:9" ht="15" customHeight="1" x14ac:dyDescent="0.15">
      <c r="A50" s="246" t="s">
        <v>872</v>
      </c>
      <c r="B50" s="246" t="s">
        <v>879</v>
      </c>
      <c r="C50" s="246" t="s">
        <v>884</v>
      </c>
      <c r="D50" s="246" t="s">
        <v>758</v>
      </c>
      <c r="E50" s="246" t="s">
        <v>758</v>
      </c>
    </row>
    <row r="51" spans="1:9" ht="15" customHeight="1" x14ac:dyDescent="0.15">
      <c r="A51" s="246" t="s">
        <v>807</v>
      </c>
      <c r="B51" s="246" t="s">
        <v>879</v>
      </c>
      <c r="C51" s="246" t="s">
        <v>758</v>
      </c>
      <c r="D51" s="246" t="s">
        <v>758</v>
      </c>
      <c r="E51" s="246" t="s">
        <v>885</v>
      </c>
    </row>
    <row r="52" spans="1:9" ht="15" customHeight="1" x14ac:dyDescent="0.15">
      <c r="A52" s="340" t="s">
        <v>804</v>
      </c>
      <c r="B52" s="340"/>
      <c r="C52" s="340"/>
      <c r="D52" s="340"/>
      <c r="E52" s="340"/>
      <c r="F52" s="340"/>
    </row>
    <row r="53" spans="1:9" ht="15" customHeight="1" x14ac:dyDescent="0.15">
      <c r="A53" s="246" t="s">
        <v>875</v>
      </c>
      <c r="B53" s="246" t="s">
        <v>863</v>
      </c>
      <c r="C53" s="246" t="s">
        <v>864</v>
      </c>
      <c r="D53" s="246" t="s">
        <v>865</v>
      </c>
      <c r="E53" s="246" t="s">
        <v>866</v>
      </c>
      <c r="F53" s="246" t="s">
        <v>867</v>
      </c>
      <c r="G53" s="246" t="s">
        <v>868</v>
      </c>
      <c r="H53" s="246" t="s">
        <v>886</v>
      </c>
      <c r="I53" s="246" t="s">
        <v>887</v>
      </c>
    </row>
    <row r="54" spans="1:9" ht="15" customHeight="1" x14ac:dyDescent="0.15">
      <c r="A54" s="246" t="s">
        <v>846</v>
      </c>
      <c r="B54" s="246" t="s">
        <v>870</v>
      </c>
      <c r="C54" s="246" t="s">
        <v>785</v>
      </c>
      <c r="D54" s="246" t="s">
        <v>758</v>
      </c>
      <c r="E54" s="246" t="s">
        <v>758</v>
      </c>
      <c r="F54" s="246" t="s">
        <v>758</v>
      </c>
      <c r="G54" s="246" t="s">
        <v>758</v>
      </c>
      <c r="H54" s="246" t="s">
        <v>870</v>
      </c>
      <c r="I54" s="246" t="s">
        <v>785</v>
      </c>
    </row>
    <row r="55" spans="1:9" ht="15" customHeight="1" x14ac:dyDescent="0.15">
      <c r="A55" s="246" t="s">
        <v>847</v>
      </c>
      <c r="B55" s="246" t="s">
        <v>870</v>
      </c>
      <c r="C55" s="246" t="s">
        <v>785</v>
      </c>
      <c r="D55" s="246" t="s">
        <v>758</v>
      </c>
      <c r="E55" s="246" t="s">
        <v>758</v>
      </c>
      <c r="F55" s="246" t="s">
        <v>758</v>
      </c>
      <c r="G55" s="246" t="s">
        <v>758</v>
      </c>
      <c r="H55" s="246" t="s">
        <v>870</v>
      </c>
      <c r="I55" s="246" t="s">
        <v>785</v>
      </c>
    </row>
    <row r="56" spans="1:9" ht="15" customHeight="1" x14ac:dyDescent="0.15">
      <c r="A56" s="246" t="s">
        <v>849</v>
      </c>
      <c r="B56" s="246" t="s">
        <v>870</v>
      </c>
      <c r="C56" s="246" t="s">
        <v>785</v>
      </c>
      <c r="D56" s="246" t="s">
        <v>758</v>
      </c>
      <c r="E56" s="246" t="s">
        <v>758</v>
      </c>
      <c r="F56" s="246" t="s">
        <v>758</v>
      </c>
      <c r="G56" s="246" t="s">
        <v>758</v>
      </c>
      <c r="H56" s="246" t="s">
        <v>870</v>
      </c>
      <c r="I56" s="246" t="s">
        <v>785</v>
      </c>
    </row>
    <row r="57" spans="1:9" ht="15" customHeight="1" x14ac:dyDescent="0.15">
      <c r="A57" s="246" t="s">
        <v>850</v>
      </c>
      <c r="B57" s="246" t="s">
        <v>870</v>
      </c>
      <c r="C57" s="246" t="s">
        <v>785</v>
      </c>
      <c r="D57" s="246" t="s">
        <v>758</v>
      </c>
      <c r="E57" s="246" t="s">
        <v>758</v>
      </c>
      <c r="F57" s="246" t="s">
        <v>758</v>
      </c>
      <c r="G57" s="246" t="s">
        <v>758</v>
      </c>
      <c r="H57" s="246" t="s">
        <v>870</v>
      </c>
      <c r="I57" s="246" t="s">
        <v>785</v>
      </c>
    </row>
    <row r="58" spans="1:9" ht="15" customHeight="1" x14ac:dyDescent="0.15">
      <c r="A58" s="246" t="s">
        <v>852</v>
      </c>
      <c r="B58" s="246" t="s">
        <v>870</v>
      </c>
      <c r="C58" s="246" t="s">
        <v>785</v>
      </c>
      <c r="D58" s="246" t="s">
        <v>758</v>
      </c>
      <c r="E58" s="246" t="s">
        <v>758</v>
      </c>
      <c r="F58" s="246" t="s">
        <v>758</v>
      </c>
      <c r="G58" s="246" t="s">
        <v>758</v>
      </c>
      <c r="H58" s="246" t="s">
        <v>870</v>
      </c>
      <c r="I58" s="246" t="s">
        <v>785</v>
      </c>
    </row>
    <row r="59" spans="1:9" ht="15" customHeight="1" x14ac:dyDescent="0.15">
      <c r="A59" s="246" t="s">
        <v>854</v>
      </c>
      <c r="B59" s="246" t="s">
        <v>870</v>
      </c>
      <c r="C59" s="246" t="s">
        <v>785</v>
      </c>
      <c r="D59" s="246" t="s">
        <v>758</v>
      </c>
      <c r="E59" s="246" t="s">
        <v>758</v>
      </c>
      <c r="F59" s="246" t="s">
        <v>758</v>
      </c>
      <c r="G59" s="246" t="s">
        <v>758</v>
      </c>
      <c r="H59" s="246" t="s">
        <v>870</v>
      </c>
      <c r="I59" s="246" t="s">
        <v>785</v>
      </c>
    </row>
    <row r="60" spans="1:9" ht="15" customHeight="1" x14ac:dyDescent="0.15">
      <c r="A60" s="246" t="s">
        <v>855</v>
      </c>
      <c r="B60" s="246" t="s">
        <v>870</v>
      </c>
      <c r="C60" s="246" t="s">
        <v>785</v>
      </c>
      <c r="D60" s="246" t="s">
        <v>758</v>
      </c>
      <c r="E60" s="246" t="s">
        <v>758</v>
      </c>
      <c r="F60" s="246" t="s">
        <v>758</v>
      </c>
      <c r="G60" s="246" t="s">
        <v>758</v>
      </c>
      <c r="H60" s="246" t="s">
        <v>870</v>
      </c>
      <c r="I60" s="246" t="s">
        <v>785</v>
      </c>
    </row>
    <row r="61" spans="1:9" ht="15" customHeight="1" x14ac:dyDescent="0.15">
      <c r="A61" s="246" t="s">
        <v>856</v>
      </c>
      <c r="B61" s="246" t="s">
        <v>870</v>
      </c>
      <c r="C61" s="246" t="s">
        <v>785</v>
      </c>
      <c r="D61" s="246" t="s">
        <v>758</v>
      </c>
      <c r="E61" s="246" t="s">
        <v>758</v>
      </c>
      <c r="F61" s="246" t="s">
        <v>758</v>
      </c>
      <c r="G61" s="246" t="s">
        <v>758</v>
      </c>
      <c r="H61" s="246" t="s">
        <v>870</v>
      </c>
      <c r="I61" s="246" t="s">
        <v>785</v>
      </c>
    </row>
    <row r="62" spans="1:9" ht="15" customHeight="1" x14ac:dyDescent="0.15">
      <c r="A62" s="246" t="s">
        <v>857</v>
      </c>
      <c r="B62" s="246" t="s">
        <v>870</v>
      </c>
      <c r="C62" s="246" t="s">
        <v>785</v>
      </c>
      <c r="D62" s="246" t="s">
        <v>758</v>
      </c>
      <c r="E62" s="246" t="s">
        <v>758</v>
      </c>
      <c r="F62" s="246" t="s">
        <v>758</v>
      </c>
      <c r="G62" s="246" t="s">
        <v>758</v>
      </c>
      <c r="H62" s="246" t="s">
        <v>870</v>
      </c>
      <c r="I62" s="246" t="s">
        <v>785</v>
      </c>
    </row>
    <row r="63" spans="1:9" ht="15" customHeight="1" x14ac:dyDescent="0.15">
      <c r="A63" s="246" t="s">
        <v>838</v>
      </c>
      <c r="B63" s="246" t="s">
        <v>870</v>
      </c>
      <c r="C63" s="246" t="s">
        <v>785</v>
      </c>
      <c r="D63" s="246" t="s">
        <v>758</v>
      </c>
      <c r="E63" s="246" t="s">
        <v>758</v>
      </c>
      <c r="F63" s="246" t="s">
        <v>758</v>
      </c>
      <c r="G63" s="246" t="s">
        <v>758</v>
      </c>
      <c r="H63" s="246" t="s">
        <v>870</v>
      </c>
      <c r="I63" s="246" t="s">
        <v>785</v>
      </c>
    </row>
    <row r="64" spans="1:9" ht="15" customHeight="1" x14ac:dyDescent="0.15">
      <c r="A64" s="246" t="s">
        <v>858</v>
      </c>
      <c r="B64" s="246" t="s">
        <v>870</v>
      </c>
      <c r="C64" s="246" t="s">
        <v>785</v>
      </c>
      <c r="D64" s="246" t="s">
        <v>758</v>
      </c>
      <c r="E64" s="246" t="s">
        <v>758</v>
      </c>
      <c r="F64" s="246" t="s">
        <v>758</v>
      </c>
      <c r="G64" s="246" t="s">
        <v>758</v>
      </c>
      <c r="H64" s="246" t="s">
        <v>870</v>
      </c>
      <c r="I64" s="246" t="s">
        <v>785</v>
      </c>
    </row>
    <row r="65" spans="1:24" ht="15" customHeight="1" x14ac:dyDescent="0.15">
      <c r="A65" s="246" t="s">
        <v>859</v>
      </c>
      <c r="B65" s="246" t="s">
        <v>870</v>
      </c>
      <c r="C65" s="246" t="s">
        <v>785</v>
      </c>
      <c r="D65" s="246" t="s">
        <v>758</v>
      </c>
      <c r="E65" s="246" t="s">
        <v>758</v>
      </c>
      <c r="F65" s="246" t="s">
        <v>758</v>
      </c>
      <c r="G65" s="246" t="s">
        <v>758</v>
      </c>
      <c r="H65" s="246" t="s">
        <v>870</v>
      </c>
      <c r="I65" s="246" t="s">
        <v>785</v>
      </c>
    </row>
    <row r="66" spans="1:24" ht="15" customHeight="1" x14ac:dyDescent="0.15">
      <c r="A66" s="246" t="s">
        <v>860</v>
      </c>
      <c r="B66" s="246" t="s">
        <v>870</v>
      </c>
      <c r="C66" s="246" t="s">
        <v>785</v>
      </c>
      <c r="D66" s="246" t="s">
        <v>758</v>
      </c>
      <c r="E66" s="246" t="s">
        <v>758</v>
      </c>
      <c r="F66" s="246" t="s">
        <v>758</v>
      </c>
      <c r="G66" s="246" t="s">
        <v>758</v>
      </c>
      <c r="H66" s="246" t="s">
        <v>870</v>
      </c>
      <c r="I66" s="246" t="s">
        <v>785</v>
      </c>
    </row>
    <row r="67" spans="1:24" ht="15" customHeight="1" x14ac:dyDescent="0.15">
      <c r="A67" s="340" t="s">
        <v>888</v>
      </c>
      <c r="B67" s="340"/>
      <c r="C67" s="340"/>
      <c r="D67" s="340"/>
      <c r="E67" s="340"/>
      <c r="F67" s="340"/>
    </row>
    <row r="68" spans="1:24" ht="15" customHeight="1" x14ac:dyDescent="0.15">
      <c r="A68" s="246" t="s">
        <v>889</v>
      </c>
      <c r="B68" s="246" t="s">
        <v>890</v>
      </c>
    </row>
    <row r="69" spans="1:24" ht="15" customHeight="1" x14ac:dyDescent="0.15">
      <c r="A69" s="246" t="s">
        <v>678</v>
      </c>
    </row>
    <row r="70" spans="1:24" ht="15" customHeight="1" x14ac:dyDescent="0.15">
      <c r="A70" s="340" t="s">
        <v>806</v>
      </c>
      <c r="B70" s="340"/>
      <c r="C70" s="340"/>
      <c r="D70" s="340"/>
      <c r="E70" s="340"/>
      <c r="F70" s="340"/>
    </row>
    <row r="71" spans="1:24" ht="15" customHeight="1" x14ac:dyDescent="0.15">
      <c r="A71" s="246" t="s">
        <v>891</v>
      </c>
      <c r="B71" s="246" t="s">
        <v>892</v>
      </c>
      <c r="C71" s="246" t="s">
        <v>893</v>
      </c>
      <c r="D71" s="246" t="s">
        <v>894</v>
      </c>
      <c r="E71" s="246" t="s">
        <v>895</v>
      </c>
      <c r="F71" s="246" t="s">
        <v>896</v>
      </c>
      <c r="G71" s="246" t="s">
        <v>897</v>
      </c>
    </row>
    <row r="72" spans="1:24" ht="15" customHeight="1" x14ac:dyDescent="0.15">
      <c r="A72" s="246" t="s">
        <v>780</v>
      </c>
      <c r="B72" s="246" t="s">
        <v>243</v>
      </c>
      <c r="C72" s="246" t="s">
        <v>758</v>
      </c>
      <c r="D72" s="246" t="s">
        <v>758</v>
      </c>
      <c r="E72" s="246" t="s">
        <v>758</v>
      </c>
      <c r="F72" s="246" t="s">
        <v>758</v>
      </c>
      <c r="G72" s="246" t="s">
        <v>779</v>
      </c>
      <c r="H72" s="246" t="s">
        <v>758</v>
      </c>
    </row>
    <row r="73" spans="1:24" ht="15" customHeight="1" x14ac:dyDescent="0.15">
      <c r="A73" s="340" t="s">
        <v>898</v>
      </c>
      <c r="B73" s="340"/>
      <c r="C73" s="340"/>
      <c r="D73" s="340"/>
      <c r="E73" s="340"/>
      <c r="F73" s="340"/>
    </row>
    <row r="74" spans="1:24" ht="15" customHeight="1" x14ac:dyDescent="0.15">
      <c r="A74" s="246" t="s">
        <v>899</v>
      </c>
    </row>
    <row r="75" spans="1:24" ht="15" customHeight="1" x14ac:dyDescent="0.15">
      <c r="A75" s="250">
        <v>1</v>
      </c>
    </row>
    <row r="76" spans="1:24" ht="15" customHeight="1" x14ac:dyDescent="0.15">
      <c r="A76" s="340" t="s">
        <v>900</v>
      </c>
      <c r="B76" s="340"/>
      <c r="C76" s="340"/>
      <c r="D76" s="340"/>
      <c r="E76" s="340"/>
      <c r="F76" s="340"/>
    </row>
    <row r="77" spans="1:24" ht="15" customHeight="1" x14ac:dyDescent="0.15">
      <c r="A77" s="246" t="s">
        <v>4</v>
      </c>
      <c r="B77" s="340" t="s">
        <v>874</v>
      </c>
      <c r="C77" s="246" t="s">
        <v>901</v>
      </c>
      <c r="D77" s="246" t="s">
        <v>902</v>
      </c>
      <c r="E77" s="246" t="s">
        <v>903</v>
      </c>
      <c r="F77" s="246" t="s">
        <v>904</v>
      </c>
      <c r="G77" s="246" t="s">
        <v>905</v>
      </c>
      <c r="H77" s="246" t="s">
        <v>906</v>
      </c>
      <c r="I77" s="246" t="s">
        <v>907</v>
      </c>
      <c r="J77" s="246" t="s">
        <v>908</v>
      </c>
      <c r="K77" s="246" t="s">
        <v>909</v>
      </c>
      <c r="L77" s="246" t="s">
        <v>910</v>
      </c>
      <c r="M77" s="246" t="s">
        <v>911</v>
      </c>
      <c r="N77" s="246" t="s">
        <v>912</v>
      </c>
      <c r="O77" s="246" t="s">
        <v>913</v>
      </c>
      <c r="P77" s="246" t="s">
        <v>914</v>
      </c>
      <c r="Q77" s="246" t="s">
        <v>915</v>
      </c>
      <c r="R77" s="246" t="s">
        <v>916</v>
      </c>
      <c r="S77" s="246" t="s">
        <v>917</v>
      </c>
      <c r="T77" s="246" t="s">
        <v>918</v>
      </c>
      <c r="U77" s="246" t="s">
        <v>919</v>
      </c>
      <c r="V77" s="246" t="s">
        <v>920</v>
      </c>
      <c r="W77" s="246" t="s">
        <v>921</v>
      </c>
    </row>
    <row r="78" spans="1:24" ht="15" customHeight="1" x14ac:dyDescent="0.15">
      <c r="A78" s="246" t="s">
        <v>158</v>
      </c>
      <c r="B78" s="340"/>
      <c r="C78" s="246" t="s">
        <v>922</v>
      </c>
      <c r="D78" s="246" t="s">
        <v>923</v>
      </c>
      <c r="E78" s="246" t="s">
        <v>924</v>
      </c>
      <c r="F78" s="246" t="s">
        <v>925</v>
      </c>
      <c r="G78" s="246" t="s">
        <v>926</v>
      </c>
      <c r="H78" s="246" t="s">
        <v>927</v>
      </c>
      <c r="I78" s="246" t="s">
        <v>928</v>
      </c>
      <c r="J78" s="246" t="s">
        <v>929</v>
      </c>
      <c r="K78" s="246" t="s">
        <v>930</v>
      </c>
      <c r="L78" s="246" t="s">
        <v>931</v>
      </c>
      <c r="M78" s="246" t="s">
        <v>932</v>
      </c>
      <c r="N78" s="246" t="s">
        <v>933</v>
      </c>
      <c r="O78" s="246" t="s">
        <v>934</v>
      </c>
      <c r="P78" s="246" t="s">
        <v>935</v>
      </c>
      <c r="S78" s="246" t="s">
        <v>936</v>
      </c>
      <c r="T78" s="246" t="s">
        <v>937</v>
      </c>
      <c r="U78" s="246" t="s">
        <v>938</v>
      </c>
      <c r="V78" s="246" t="s">
        <v>939</v>
      </c>
    </row>
    <row r="79" spans="1:24" ht="15" customHeight="1" x14ac:dyDescent="0.15">
      <c r="A79" s="250">
        <v>0</v>
      </c>
      <c r="B79" s="246" t="s">
        <v>3</v>
      </c>
      <c r="C79" s="246" t="s">
        <v>940</v>
      </c>
      <c r="D79" s="246" t="s">
        <v>941</v>
      </c>
      <c r="E79" s="246" t="s">
        <v>942</v>
      </c>
      <c r="F79" s="246" t="s">
        <v>943</v>
      </c>
      <c r="G79" s="246" t="s">
        <v>942</v>
      </c>
      <c r="H79" s="246" t="s">
        <v>943</v>
      </c>
      <c r="I79" s="246" t="s">
        <v>942</v>
      </c>
      <c r="J79" s="246" t="s">
        <v>943</v>
      </c>
      <c r="K79" s="246" t="s">
        <v>942</v>
      </c>
      <c r="L79" s="246" t="s">
        <v>943</v>
      </c>
      <c r="M79" s="246" t="s">
        <v>944</v>
      </c>
      <c r="N79" s="246" t="s">
        <v>945</v>
      </c>
      <c r="O79" s="246" t="s">
        <v>946</v>
      </c>
      <c r="P79" s="246" t="s">
        <v>232</v>
      </c>
      <c r="Q79" s="246" t="s">
        <v>232</v>
      </c>
      <c r="R79" s="250">
        <v>1</v>
      </c>
      <c r="S79" s="246" t="s">
        <v>232</v>
      </c>
      <c r="T79" s="246" t="s">
        <v>232</v>
      </c>
      <c r="U79" s="246" t="s">
        <v>947</v>
      </c>
      <c r="V79" s="246" t="s">
        <v>947</v>
      </c>
      <c r="W79" s="250">
        <v>3</v>
      </c>
      <c r="X79" s="246" t="s">
        <v>948</v>
      </c>
    </row>
    <row r="80" spans="1:24" ht="15" customHeight="1" x14ac:dyDescent="0.15">
      <c r="A80" s="250">
        <v>1</v>
      </c>
      <c r="B80" s="246" t="s">
        <v>54</v>
      </c>
      <c r="C80" s="246" t="s">
        <v>940</v>
      </c>
      <c r="D80" s="246" t="s">
        <v>941</v>
      </c>
      <c r="E80" s="246" t="s">
        <v>942</v>
      </c>
      <c r="F80" s="246" t="s">
        <v>943</v>
      </c>
      <c r="G80" s="246" t="s">
        <v>942</v>
      </c>
      <c r="H80" s="246" t="s">
        <v>943</v>
      </c>
      <c r="I80" s="246" t="s">
        <v>942</v>
      </c>
      <c r="J80" s="246" t="s">
        <v>943</v>
      </c>
      <c r="K80" s="246" t="s">
        <v>942</v>
      </c>
      <c r="L80" s="246" t="s">
        <v>943</v>
      </c>
      <c r="M80" s="246" t="s">
        <v>944</v>
      </c>
      <c r="N80" s="246" t="s">
        <v>945</v>
      </c>
      <c r="O80" s="246" t="s">
        <v>946</v>
      </c>
      <c r="P80" s="246" t="s">
        <v>232</v>
      </c>
      <c r="Q80" s="246" t="s">
        <v>232</v>
      </c>
      <c r="R80" s="250">
        <v>1</v>
      </c>
      <c r="S80" s="246" t="s">
        <v>232</v>
      </c>
      <c r="T80" s="246" t="s">
        <v>232</v>
      </c>
      <c r="U80" s="246" t="s">
        <v>947</v>
      </c>
      <c r="V80" s="246" t="s">
        <v>947</v>
      </c>
      <c r="W80" s="250">
        <v>3</v>
      </c>
      <c r="X80" s="246" t="s">
        <v>948</v>
      </c>
    </row>
  </sheetData>
  <mergeCells count="14">
    <mergeCell ref="A1:F1"/>
    <mergeCell ref="A5:F5"/>
    <mergeCell ref="A8:F8"/>
    <mergeCell ref="A11:F11"/>
    <mergeCell ref="A14:F14"/>
    <mergeCell ref="A70:F70"/>
    <mergeCell ref="A73:F73"/>
    <mergeCell ref="A76:F76"/>
    <mergeCell ref="B77:B78"/>
    <mergeCell ref="A17:F17"/>
    <mergeCell ref="A33:F33"/>
    <mergeCell ref="A43:F43"/>
    <mergeCell ref="A52:F52"/>
    <mergeCell ref="A67:F67"/>
  </mergeCells>
  <printOptions headings="1" gridLines="1"/>
  <pageMargins left="0" right="0" top="0" bottom="0" header="0" footer="0"/>
  <pageSetup paperSize="0" blackAndWhite="1" useFirstPageNumber="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55</vt:i4>
      </vt:variant>
    </vt:vector>
  </HeadingPairs>
  <TitlesOfParts>
    <vt:vector size="111" baseType="lpstr">
      <vt:lpstr>THKP hạng mục</vt:lpstr>
      <vt:lpstr>Giá tổng hợp</vt:lpstr>
      <vt:lpstr>Công trình</vt:lpstr>
      <vt:lpstr>Giá tháng</vt:lpstr>
      <vt:lpstr>Đầu vào</vt:lpstr>
      <vt:lpstr>Nhân công</vt:lpstr>
      <vt:lpstr>Máy</vt:lpstr>
      <vt:lpstr>HaoPhiVatTu</vt:lpstr>
      <vt:lpstr>Tổng hợp VT</vt:lpstr>
      <vt:lpstr>THVT gộp</vt:lpstr>
      <vt:lpstr>Cước VC</vt:lpstr>
      <vt:lpstr>Cước bộ</vt:lpstr>
      <vt:lpstr>Đơn giá chi tiết</vt:lpstr>
      <vt:lpstr>TH chi phí XD</vt:lpstr>
      <vt:lpstr>TH chi phí TB</vt:lpstr>
      <vt:lpstr>HM chung</vt:lpstr>
      <vt:lpstr>Bồi thường</vt:lpstr>
      <vt:lpstr>Dự phòng</vt:lpstr>
      <vt:lpstr>TH kinh phí</vt:lpstr>
      <vt:lpstr>Chi tiết KL</vt:lpstr>
      <vt:lpstr>Luật XD</vt:lpstr>
      <vt:lpstr>Công trình TL</vt:lpstr>
      <vt:lpstr>Chiết tính</vt:lpstr>
      <vt:lpstr>Hệ số</vt:lpstr>
      <vt:lpstr>Đơn giá TH</vt:lpstr>
      <vt:lpstr>Dự thầu</vt:lpstr>
      <vt:lpstr>HM chung thầu</vt:lpstr>
      <vt:lpstr>Dự phòng thầu</vt:lpstr>
      <vt:lpstr>Dự toán gói thầu</vt:lpstr>
      <vt:lpstr>Phân tích VT</vt:lpstr>
      <vt:lpstr>Bìa</vt:lpstr>
      <vt:lpstr>NhiênLiệu</vt:lpstr>
      <vt:lpstr>Thẩm định</vt:lpstr>
      <vt:lpstr>TH chi phí tư vấn</vt:lpstr>
      <vt:lpstr>Thép</vt:lpstr>
      <vt:lpstr>HSXL</vt:lpstr>
      <vt:lpstr>Định mức tư vấn</vt:lpstr>
      <vt:lpstr>Quyết toán</vt:lpstr>
      <vt:lpstr>Giá tháng QT</vt:lpstr>
      <vt:lpstr>Đầu vào QT</vt:lpstr>
      <vt:lpstr>Nhân công QT</vt:lpstr>
      <vt:lpstr>Máy QT</vt:lpstr>
      <vt:lpstr>HaoPhiVatTu QT</vt:lpstr>
      <vt:lpstr>Tổng hợp VT QT</vt:lpstr>
      <vt:lpstr>Cước VC QT</vt:lpstr>
      <vt:lpstr>Cước bộ QT</vt:lpstr>
      <vt:lpstr>NhiênLiệu QT</vt:lpstr>
      <vt:lpstr>Chiết tính QT</vt:lpstr>
      <vt:lpstr>Dự thầu QT</vt:lpstr>
      <vt:lpstr>Hệ số QT</vt:lpstr>
      <vt:lpstr>HSXLQT</vt:lpstr>
      <vt:lpstr>KL hoàn thành</vt:lpstr>
      <vt:lpstr>KL phát sinh</vt:lpstr>
      <vt:lpstr>Hệ số Pn</vt:lpstr>
      <vt:lpstr>Tổng hợp QT</vt:lpstr>
      <vt:lpstr>Cấu hình</vt:lpstr>
      <vt:lpstr>Bìa!Print_Area</vt:lpstr>
      <vt:lpstr>'Bồi thường'!Print_Area</vt:lpstr>
      <vt:lpstr>'Công trình'!Print_Area</vt:lpstr>
      <vt:lpstr>'Công trình TL'!Print_Area</vt:lpstr>
      <vt:lpstr>'Cước bộ'!Print_Area</vt:lpstr>
      <vt:lpstr>'Cước bộ QT'!Print_Area</vt:lpstr>
      <vt:lpstr>'Cước VC'!Print_Area</vt:lpstr>
      <vt:lpstr>'Cước VC QT'!Print_Area</vt:lpstr>
      <vt:lpstr>'Chi tiết KL'!Print_Area</vt:lpstr>
      <vt:lpstr>'Chiết tính'!Print_Area</vt:lpstr>
      <vt:lpstr>'Chiết tính QT'!Print_Area</vt:lpstr>
      <vt:lpstr>'Dự phòng'!Print_Area</vt:lpstr>
      <vt:lpstr>'Dự phòng thầu'!Print_Area</vt:lpstr>
      <vt:lpstr>'Dự toán gói thầu'!Print_Area</vt:lpstr>
      <vt:lpstr>'Dự thầu'!Print_Area</vt:lpstr>
      <vt:lpstr>'Dự thầu QT'!Print_Area</vt:lpstr>
      <vt:lpstr>'Đầu vào'!Print_Area</vt:lpstr>
      <vt:lpstr>'Đầu vào QT'!Print_Area</vt:lpstr>
      <vt:lpstr>'Định mức tư vấn'!Print_Area</vt:lpstr>
      <vt:lpstr>'Đơn giá chi tiết'!Print_Area</vt:lpstr>
      <vt:lpstr>'Đơn giá TH'!Print_Area</vt:lpstr>
      <vt:lpstr>'Giá tổng hợp'!Print_Area</vt:lpstr>
      <vt:lpstr>'Giá tháng'!Print_Area</vt:lpstr>
      <vt:lpstr>'Giá tháng QT'!Print_Area</vt:lpstr>
      <vt:lpstr>HaoPhiVatTu!Print_Area</vt:lpstr>
      <vt:lpstr>'HaoPhiVatTu QT'!Print_Area</vt:lpstr>
      <vt:lpstr>'Hệ số'!Print_Area</vt:lpstr>
      <vt:lpstr>'Hệ số Pn'!Print_Area</vt:lpstr>
      <vt:lpstr>'Hệ số QT'!Print_Area</vt:lpstr>
      <vt:lpstr>'HM chung'!Print_Area</vt:lpstr>
      <vt:lpstr>'HM chung thầu'!Print_Area</vt:lpstr>
      <vt:lpstr>HSXL!Print_Area</vt:lpstr>
      <vt:lpstr>HSXLQT!Print_Area</vt:lpstr>
      <vt:lpstr>'KL hoàn thành'!Print_Area</vt:lpstr>
      <vt:lpstr>'KL phát sinh'!Print_Area</vt:lpstr>
      <vt:lpstr>'Luật XD'!Print_Area</vt:lpstr>
      <vt:lpstr>Máy!Print_Area</vt:lpstr>
      <vt:lpstr>'Máy QT'!Print_Area</vt:lpstr>
      <vt:lpstr>'Nhân công'!Print_Area</vt:lpstr>
      <vt:lpstr>'Nhân công QT'!Print_Area</vt:lpstr>
      <vt:lpstr>NhiênLiệu!Print_Area</vt:lpstr>
      <vt:lpstr>'NhiênLiệu QT'!Print_Area</vt:lpstr>
      <vt:lpstr>'Phân tích VT'!Print_Area</vt:lpstr>
      <vt:lpstr>'Quyết toán'!Print_Area</vt:lpstr>
      <vt:lpstr>'Tổng hợp QT'!Print_Area</vt:lpstr>
      <vt:lpstr>'Tổng hợp VT'!Print_Area</vt:lpstr>
      <vt:lpstr>'Tổng hợp VT QT'!Print_Area</vt:lpstr>
      <vt:lpstr>'TH chi phí TB'!Print_Area</vt:lpstr>
      <vt:lpstr>'TH chi phí tư vấn'!Print_Area</vt:lpstr>
      <vt:lpstr>'TH chi phí XD'!Print_Area</vt:lpstr>
      <vt:lpstr>'TH kinh phí'!Print_Area</vt:lpstr>
      <vt:lpstr>'Thẩm định'!Print_Area</vt:lpstr>
      <vt:lpstr>Thép!Print_Area</vt:lpstr>
      <vt:lpstr>'THKP hạng mục'!Print_Area</vt:lpstr>
      <vt:lpstr>'THVT gộp'!Print_Area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Personal</cp:lastModifiedBy>
  <dcterms:modified xsi:type="dcterms:W3CDTF">2026-09-03T08:38:26Z</dcterms:modified>
</cp:coreProperties>
</file>