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hợp" sheetId="1" state="visible" r:id="rId1"/>
    <sheet xmlns:r="http://schemas.openxmlformats.org/officeDocument/2006/relationships" name="Phương án đàm phán" sheetId="2" state="visible" r:id="rId2"/>
    <sheet xmlns:r="http://schemas.openxmlformats.org/officeDocument/2006/relationships" name="Đối chiếu từng điều" sheetId="3" state="visible" r:id="rId3"/>
    <sheet xmlns:r="http://schemas.openxmlformats.org/officeDocument/2006/relationships" name="Trùng lặp - mâu thuẫn" sheetId="4" state="visible" r:id="rId4"/>
    <sheet xmlns:r="http://schemas.openxmlformats.org/officeDocument/2006/relationships" name="Gom điều khoản (EC_v3)" sheetId="5" state="visible" r:id="rId5"/>
  </sheets>
  <definedNames>
    <definedName name="_xlnm._FilterDatabase" localSheetId="2" hidden="1">'Đối chiếu từng điều'!$A$4:$Q$76</definedName>
    <definedName name="_xlnm.Print_Titles" localSheetId="2">'Đối chiếu từng điều'!$4:$4</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Times New Roman"/>
      <b val="1"/>
      <color rgb="001F3864"/>
      <sz val="14"/>
    </font>
    <font>
      <name val="Times New Roman"/>
      <i val="1"/>
      <sz val="10"/>
    </font>
    <font>
      <name val="Times New Roman"/>
      <b val="1"/>
      <color rgb="00FFFFFF"/>
      <sz val="11"/>
    </font>
    <font>
      <name val="Times New Roman"/>
      <b val="1"/>
      <color rgb="001F3864"/>
      <sz val="12"/>
    </font>
    <font>
      <name val="Times New Roman"/>
      <sz val="10"/>
    </font>
    <font>
      <name val="Times New Roman"/>
      <b val="1"/>
      <sz val="10"/>
    </font>
    <font>
      <name val="Times New Roman"/>
      <b val="1"/>
      <color rgb="001F3864"/>
      <sz val="10"/>
    </font>
    <font>
      <name val="Times New Roman"/>
      <b val="1"/>
      <color rgb="00C55A11"/>
      <sz val="10"/>
    </font>
    <font>
      <name val="Times New Roman"/>
      <color rgb="00C00000"/>
      <sz val="10"/>
    </font>
    <font>
      <name val="Times New Roman"/>
      <b val="1"/>
      <color rgb="00FFFFFF"/>
      <sz val="12"/>
    </font>
    <font>
      <name val="Times New Roman"/>
      <sz val="11"/>
    </font>
    <font>
      <name val="Times New Roman"/>
      <b val="1"/>
      <sz val="11"/>
    </font>
  </fonts>
  <fills count="13">
    <fill>
      <patternFill/>
    </fill>
    <fill>
      <patternFill patternType="gray125"/>
    </fill>
    <fill>
      <patternFill patternType="solid">
        <fgColor rgb="001F3864"/>
      </patternFill>
    </fill>
    <fill>
      <patternFill patternType="solid">
        <fgColor rgb="00D9E2F3"/>
      </patternFill>
    </fill>
    <fill>
      <patternFill patternType="solid">
        <fgColor rgb="00C6E0B4"/>
      </patternFill>
    </fill>
    <fill>
      <patternFill patternType="solid">
        <fgColor rgb="00FFF2CC"/>
      </patternFill>
    </fill>
    <fill>
      <patternFill patternType="solid">
        <fgColor rgb="00F4B183"/>
      </patternFill>
    </fill>
    <fill>
      <patternFill patternType="solid">
        <fgColor rgb="00FFE699"/>
      </patternFill>
    </fill>
    <fill>
      <patternFill patternType="solid">
        <fgColor rgb="00E2EFDA"/>
      </patternFill>
    </fill>
    <fill>
      <patternFill patternType="solid">
        <fgColor rgb="00F8CBAD"/>
      </patternFill>
    </fill>
    <fill>
      <patternFill patternType="solid">
        <fgColor rgb="00EDEDED"/>
      </patternFill>
    </fill>
    <fill>
      <patternFill patternType="solid">
        <fgColor rgb="00DDEBF7"/>
      </patternFill>
    </fill>
    <fill>
      <patternFill patternType="solid">
        <fgColor rgb="00FCE4D6"/>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42">
    <xf numFmtId="0" fontId="0" fillId="0" borderId="0" pivotButton="0" quotePrefix="0" xfId="0"/>
    <xf numFmtId="0" fontId="1" fillId="0" borderId="0" pivotButton="0" quotePrefix="0" xfId="0"/>
    <xf numFmtId="0" fontId="2" fillId="0" borderId="0" pivotButton="0" quotePrefix="0" xfId="0"/>
    <xf numFmtId="0" fontId="10" fillId="2" borderId="0" pivotButton="0" quotePrefix="0" xfId="0"/>
    <xf numFmtId="0" fontId="0" fillId="2" borderId="0" pivotButton="0" quotePrefix="0" xfId="0"/>
    <xf numFmtId="0" fontId="11" fillId="0" borderId="1" pivotButton="0" quotePrefix="0" xfId="0"/>
    <xf numFmtId="0" fontId="12" fillId="0" borderId="1" applyAlignment="1" pivotButton="0" quotePrefix="0" xfId="0">
      <alignment horizontal="center"/>
    </xf>
    <xf numFmtId="0" fontId="2" fillId="0" borderId="1" pivotButton="0" quotePrefix="0" xfId="0"/>
    <xf numFmtId="0" fontId="12" fillId="6" borderId="1" applyAlignment="1" pivotButton="0" quotePrefix="0" xfId="0">
      <alignment horizontal="center"/>
    </xf>
    <xf numFmtId="0" fontId="12" fillId="7" borderId="1" applyAlignment="1" pivotButton="0" quotePrefix="0" xfId="0">
      <alignment horizontal="center"/>
    </xf>
    <xf numFmtId="0" fontId="12" fillId="4" borderId="1" applyAlignment="1" pivotButton="0" quotePrefix="0" xfId="0">
      <alignment horizontal="center"/>
    </xf>
    <xf numFmtId="0" fontId="12" fillId="8" borderId="1" applyAlignment="1" pivotButton="0" quotePrefix="0" xfId="0">
      <alignment horizontal="center"/>
    </xf>
    <xf numFmtId="0" fontId="12" fillId="9" borderId="1" applyAlignment="1" pivotButton="0" quotePrefix="0" xfId="0">
      <alignment horizontal="center"/>
    </xf>
    <xf numFmtId="0" fontId="0" fillId="0" borderId="0" applyAlignment="1" pivotButton="0" quotePrefix="0" xfId="0">
      <alignment horizontal="center" vertical="top"/>
    </xf>
    <xf numFmtId="0" fontId="11" fillId="0" borderId="0" applyAlignment="1" pivotButton="0" quotePrefix="0" xfId="0">
      <alignment vertical="top" wrapText="1"/>
    </xf>
    <xf numFmtId="0" fontId="2" fillId="0" borderId="0" applyAlignment="1" pivotButton="0" quotePrefix="0" xfId="0">
      <alignment wrapText="1"/>
    </xf>
    <xf numFmtId="0" fontId="3" fillId="2" borderId="1" applyAlignment="1" pivotButton="0" quotePrefix="0" xfId="0">
      <alignment horizontal="center" vertical="center" wrapText="1"/>
    </xf>
    <xf numFmtId="0" fontId="5" fillId="0" borderId="1" applyAlignment="1" pivotButton="0" quotePrefix="0" xfId="0">
      <alignment horizontal="center" vertical="top" wrapText="1"/>
    </xf>
    <xf numFmtId="0" fontId="6" fillId="0" borderId="1" applyAlignment="1" pivotButton="0" quotePrefix="0" xfId="0">
      <alignment horizontal="left" vertical="top" wrapText="1"/>
    </xf>
    <xf numFmtId="0" fontId="5" fillId="0" borderId="1" applyAlignment="1" pivotButton="0" quotePrefix="0" xfId="0">
      <alignment horizontal="left" vertical="top" wrapText="1"/>
    </xf>
    <xf numFmtId="0" fontId="6" fillId="12" borderId="1" applyAlignment="1" pivotButton="0" quotePrefix="0" xfId="0">
      <alignment horizontal="left" vertical="top" wrapText="1"/>
    </xf>
    <xf numFmtId="0" fontId="9" fillId="0" borderId="1" applyAlignment="1" pivotButton="0" quotePrefix="0" xfId="0">
      <alignment horizontal="left" vertical="top" wrapText="1"/>
    </xf>
    <xf numFmtId="0" fontId="2" fillId="0" borderId="0" applyAlignment="1" pivotButton="0" quotePrefix="0" xfId="0">
      <alignment vertical="top" wrapText="1"/>
    </xf>
    <xf numFmtId="0" fontId="4" fillId="3" borderId="1" pivotButton="0" quotePrefix="0" xfId="0"/>
    <xf numFmtId="0" fontId="0" fillId="3" borderId="1" pivotButton="0" quotePrefix="0" xfId="0"/>
    <xf numFmtId="0" fontId="6" fillId="4" borderId="1" applyAlignment="1" pivotButton="0" quotePrefix="0" xfId="0">
      <alignment horizontal="center" vertical="top" wrapText="1"/>
    </xf>
    <xf numFmtId="0" fontId="7" fillId="5" borderId="1" applyAlignment="1" pivotButton="0" quotePrefix="0" xfId="0">
      <alignment horizontal="left" vertical="top" wrapText="1"/>
    </xf>
    <xf numFmtId="0" fontId="6" fillId="6" borderId="1" applyAlignment="1" pivotButton="0" quotePrefix="0" xfId="0">
      <alignment horizontal="center" vertical="top" wrapText="1"/>
    </xf>
    <xf numFmtId="0" fontId="8" fillId="0" borderId="1" applyAlignment="1" pivotButton="0" quotePrefix="0" xfId="0">
      <alignment horizontal="left" vertical="top" wrapText="1"/>
    </xf>
    <xf numFmtId="0" fontId="6" fillId="0" borderId="1" applyAlignment="1" pivotButton="0" quotePrefix="0" xfId="0">
      <alignment horizontal="center" vertical="top" wrapText="1"/>
    </xf>
    <xf numFmtId="0" fontId="6" fillId="7" borderId="1" applyAlignment="1" pivotButton="0" quotePrefix="0" xfId="0">
      <alignment horizontal="center" vertical="top" wrapText="1"/>
    </xf>
    <xf numFmtId="0" fontId="7" fillId="0" borderId="1" applyAlignment="1" pivotButton="0" quotePrefix="0" xfId="0">
      <alignment horizontal="left" vertical="top" wrapText="1"/>
    </xf>
    <xf numFmtId="0" fontId="6" fillId="8" borderId="1" applyAlignment="1" pivotButton="0" quotePrefix="0" xfId="0">
      <alignment horizontal="center" vertical="top" wrapText="1"/>
    </xf>
    <xf numFmtId="0" fontId="5" fillId="5" borderId="1" applyAlignment="1" pivotButton="0" quotePrefix="0" xfId="0">
      <alignment horizontal="left" vertical="top" wrapText="1"/>
    </xf>
    <xf numFmtId="0" fontId="6" fillId="9" borderId="1" applyAlignment="1" pivotButton="0" quotePrefix="0" xfId="0">
      <alignment horizontal="center" vertical="top" wrapText="1"/>
    </xf>
    <xf numFmtId="0" fontId="6" fillId="5" borderId="1" applyAlignment="1" pivotButton="0" quotePrefix="0" xfId="0">
      <alignment horizontal="left" vertical="top" wrapText="1"/>
    </xf>
    <xf numFmtId="0" fontId="5" fillId="10" borderId="1" applyAlignment="1" pivotButton="0" quotePrefix="0" xfId="0">
      <alignment horizontal="center" vertical="top" wrapText="1"/>
    </xf>
    <xf numFmtId="0" fontId="6" fillId="10" borderId="1" applyAlignment="1" pivotButton="0" quotePrefix="0" xfId="0">
      <alignment horizontal="left" vertical="top" wrapText="1"/>
    </xf>
    <xf numFmtId="0" fontId="5" fillId="10" borderId="1" applyAlignment="1" pivotButton="0" quotePrefix="0" xfId="0">
      <alignment horizontal="left" vertical="top" wrapText="1"/>
    </xf>
    <xf numFmtId="0" fontId="5" fillId="11" borderId="1" applyAlignment="1" pivotButton="0" quotePrefix="0" xfId="0">
      <alignment horizontal="center" vertical="top" wrapText="1"/>
    </xf>
    <xf numFmtId="0" fontId="6" fillId="11" borderId="1" applyAlignment="1" pivotButton="0" quotePrefix="0" xfId="0">
      <alignment horizontal="left" vertical="top" wrapText="1"/>
    </xf>
    <xf numFmtId="0" fontId="5" fillId="11"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36"/>
  <sheetViews>
    <sheetView workbookViewId="0">
      <selection activeCell="A1" sqref="A1"/>
    </sheetView>
  </sheetViews>
  <sheetFormatPr baseColWidth="8" defaultRowHeight="15"/>
  <cols>
    <col width="6" customWidth="1" min="1" max="1"/>
    <col width="60" customWidth="1" min="2" max="2"/>
    <col width="16" customWidth="1" min="3" max="3"/>
    <col width="60" customWidth="1" min="4" max="4"/>
  </cols>
  <sheetData>
    <row r="1">
      <c r="A1" s="1" t="inlineStr">
        <is>
          <t>BÁO CÁO RÀ SOÁT BẢN SỬA ĐỔI HĐ PHẦN NGẦM CỦA PHỤC HƯNG – TỔNG HỢP</t>
        </is>
      </c>
    </row>
    <row r="2">
      <c r="A2" s="2" t="inlineStr">
        <is>
          <t>Gói thầu: Thi công hệ cừ, văng chống, kết cấu phần ngầm và chống thấm phần ngầm khối CT1.2, CT2 – Dự án NOXH Yên Sở. Ngày lập: 16/10/2026.</t>
        </is>
      </c>
    </row>
    <row r="4">
      <c r="A4" s="3" t="inlineStr">
        <is>
          <t>I. THỐNG KÊ</t>
        </is>
      </c>
      <c r="B4" s="4" t="n"/>
      <c r="C4" s="4" t="n"/>
      <c r="D4" s="4" t="n"/>
    </row>
    <row r="5">
      <c r="B5" s="5" t="inlineStr">
        <is>
          <t>Số điều khoản PH sửa đổi (đã gom nhóm)</t>
        </is>
      </c>
      <c r="C5" s="6">
        <f>COUNT('Đối chiếu từng điều'!A5:A76)</f>
        <v/>
      </c>
      <c r="D5" s="7" t="inlineStr"/>
    </row>
    <row r="6">
      <c r="B6" s="5" t="inlineStr">
        <is>
          <t xml:space="preserve">   – Rủi ro CAO</t>
        </is>
      </c>
      <c r="C6" s="8">
        <f>COUNTIF('Đối chiếu từng điều'!F5:F76,"CAO")</f>
        <v/>
      </c>
      <c r="D6" s="7" t="inlineStr">
        <is>
          <t>Phải giữ phương án tốt nhất hoặc phương án lùi</t>
        </is>
      </c>
    </row>
    <row r="7">
      <c r="B7" s="5" t="inlineStr">
        <is>
          <t xml:space="preserve">   – Rủi ro TRUNG BÌNH</t>
        </is>
      </c>
      <c r="C7" s="9">
        <f>COUNTIF('Đối chiếu từng điều'!F5:F76,"TRUNG BÌNH")</f>
        <v/>
      </c>
      <c r="D7" s="7" t="inlineStr">
        <is>
          <t>Có thể nhượng có điều kiện</t>
        </is>
      </c>
    </row>
    <row r="8">
      <c r="B8" s="5" t="inlineStr">
        <is>
          <t xml:space="preserve">   – Rủi ro THẤP</t>
        </is>
      </c>
      <c r="C8" s="10">
        <f>COUNTIF('Đối chiếu từng điều'!F5:F76,"THẤP")</f>
        <v/>
      </c>
      <c r="D8" s="7" t="inlineStr">
        <is>
          <t>Chấp nhận</t>
        </is>
      </c>
    </row>
    <row r="9">
      <c r="B9" s="5" t="inlineStr">
        <is>
          <t>Tình trạng ở bản EC_v1 – Đã xử lý</t>
        </is>
      </c>
      <c r="C9" s="10">
        <f>COUNTIF('Đối chiếu từng điều'!L5:L76,"Đã xử lý")</f>
        <v/>
      </c>
      <c r="D9" s="7" t="inlineStr"/>
    </row>
    <row r="10">
      <c r="B10" s="5" t="inlineStr">
        <is>
          <t>Tình trạng ở bản EC_v1 – Xử lý một phần</t>
        </is>
      </c>
      <c r="C10" s="9">
        <f>COUNTIF('Đối chiếu từng điều'!L5:L76,"Xử lý một phần")</f>
        <v/>
      </c>
      <c r="D10" s="7" t="inlineStr"/>
    </row>
    <row r="11">
      <c r="B11" s="5" t="inlineStr">
        <is>
          <t>Tình trạng ở bản EC_v1 – Chưa xử lý</t>
        </is>
      </c>
      <c r="C11" s="8">
        <f>COUNTIF('Đối chiếu từng điều'!L5:L76,"Chưa xử lý")</f>
        <v/>
      </c>
      <c r="D11" s="7" t="inlineStr">
        <is>
          <t>Đã đưa phương án vào bản Word đàm phán</t>
        </is>
      </c>
    </row>
    <row r="12">
      <c r="B12" s="5" t="inlineStr">
        <is>
          <t>Tình trạng ở bản EC_v1 – Chấp nhận bản PH</t>
        </is>
      </c>
      <c r="C12" s="11">
        <f>COUNTIF('Đối chiếu từng điều'!L5:L76,"Chấp nhận bản PH")</f>
        <v/>
      </c>
      <c r="D12" s="7" t="inlineStr"/>
    </row>
    <row r="13">
      <c r="B13" s="5" t="inlineStr">
        <is>
          <t>Số điểm Lãnh đạo chốt tại buổi đàm phán</t>
        </is>
      </c>
      <c r="C13" s="12">
        <f>COUNTIF('Đối chiếu từng điều'!O5:O76,"Lãnh đạo chốt")</f>
        <v/>
      </c>
      <c r="D13" s="7" t="inlineStr">
        <is>
          <t>Xem sheet “Phương án đàm phán”</t>
        </is>
      </c>
    </row>
    <row r="14">
      <c r="B14" s="5" t="inlineStr">
        <is>
          <t>Số nhóm trùng lặp, mâu thuẫn, lỗi kỹ thuật</t>
        </is>
      </c>
      <c r="C14" s="6">
        <f>COUNTA('Trùng lặp - mâu thuẫn'!A5:A32)</f>
        <v/>
      </c>
      <c r="D14" s="7" t="inlineStr">
        <is>
          <t>Xem sheet “Trùng lặp - mâu thuẫn”</t>
        </is>
      </c>
    </row>
    <row r="16">
      <c r="A16" s="3" t="inlineStr">
        <is>
          <t>II. LẰN RANH ĐỎ – KHÔNG KÝ NẾU KHÔNG GIỮ ĐƯỢC</t>
        </is>
      </c>
      <c r="B16" s="4" t="n"/>
      <c r="C16" s="4" t="n"/>
      <c r="D16" s="4" t="n"/>
    </row>
    <row r="17" ht="20.5" customHeight="1">
      <c r="A17" s="13" t="n">
        <v>1</v>
      </c>
      <c r="B17" s="14" t="inlineStr">
        <is>
          <t>Back-to-back với HĐ thầu chính (4.4; hồ sơ, thời hạn duyệt; xác nhận TVGS/CĐT; quyết toán sau khi CĐT thanh toán; gia hạn trong phạm vi CĐT gia hạn).</t>
        </is>
      </c>
    </row>
    <row r="18" ht="20.5" customHeight="1">
      <c r="A18" s="13" t="n">
        <v>2</v>
      </c>
      <c r="B18" s="14" t="inlineStr">
        <is>
          <t>Đơn giá cố định – xóa toàn bộ 9.4 (không điều chỉnh giá thép, bê tông).</t>
        </is>
      </c>
    </row>
    <row r="19" ht="20.5" customHeight="1">
      <c r="A19" s="13" t="n">
        <v>3</v>
      </c>
      <c r="B19" s="14" t="inlineStr">
        <is>
          <t>Tạm ứng 20%; không thanh toán/tạm ứng vật tư; không cấp bảo lãnh thanh toán.</t>
        </is>
      </c>
    </row>
    <row r="20" ht="20.5" customHeight="1">
      <c r="A20" s="13" t="n">
        <v>4</v>
      </c>
      <c r="B20" s="14" t="inlineStr">
        <is>
          <t>Tiến độ 268 ngày kể từ ngày ký HĐ; khôi phục mốc; ngày bắt đầu không phụ thuộc điều kiện do Bên B kiểm soát.</t>
        </is>
      </c>
    </row>
    <row r="21" ht="20.5" customHeight="1">
      <c r="A21" s="13" t="n">
        <v>5</v>
      </c>
      <c r="B21" s="14" t="inlineStr">
        <is>
          <t>Không chấp nhận “im lặng là chấp thuận” ở bất kỳ điều nào (thanh toán, phát sinh).</t>
        </is>
      </c>
    </row>
    <row r="22" ht="20.5" customHeight="1">
      <c r="A22" s="13" t="n">
        <v>6</v>
      </c>
      <c r="B22" s="14" t="inlineStr">
        <is>
          <t>Giữ quyền khấu trừ (3.5), quyền giảm phạm vi (4.1.1), các căn cứ chấm dứt của Bên A (17.2b).</t>
        </is>
      </c>
    </row>
    <row r="23" ht="20.5" customHeight="1">
      <c r="A23" s="13" t="n">
        <v>7</v>
      </c>
      <c r="B23" s="14" t="inlineStr">
        <is>
          <t>Bên B chỉ tạm dừng khi Bên A chậm thanh toán quá 56 ngày; chỉ chấm dứt khi chậm quá 60 ngày; loại trừ trường hợp CĐT chậm trả.</t>
        </is>
      </c>
    </row>
    <row r="24" ht="20.5" customHeight="1">
      <c r="A24" s="13" t="n">
        <v>8</v>
      </c>
      <c r="B24" s="14" t="inlineStr">
        <is>
          <t>Trần phạt tổng 12% (tối thiểu 10%).</t>
        </is>
      </c>
    </row>
    <row r="26">
      <c r="A26" s="3" t="inlineStr">
        <is>
          <t>III. ĐIỂM ĐỔI CHÁC (CHẤP NHẬN / NHƯỢNG CÓ ĐIỀU KIỆN)</t>
        </is>
      </c>
      <c r="B26" s="4" t="n"/>
      <c r="C26" s="4" t="n"/>
      <c r="D26" s="4" t="n"/>
    </row>
    <row r="27" ht="35" customHeight="1">
      <c r="A27" s="13" t="n">
        <v>1</v>
      </c>
      <c r="B27" s="14" t="inlineStr">
        <is>
          <t>Chấp nhận ngay: tên PH, số HĐ; ván khuôn, giàn giáo luân chuyển; giấy phép thiết bị (12.2.1a); xóa 3.4 b, c; hoàn bảo hành 07 ngày làm việc; quan trắc do Bên A thực hiện.</t>
        </is>
      </c>
    </row>
    <row r="28" ht="49.5" customHeight="1">
      <c r="A28" s="13" t="n">
        <v>2</v>
      </c>
      <c r="B28" s="14" t="inlineStr">
        <is>
          <t>Nhượng có điều kiện: thanh toán hằng tháng, bỏ ngưỡng 2 tỷ; tạm ứng trong 07 ngày làm việc; lãi chậm trả theo lãi suất 01 tháng (từ ngày thứ 15); 7.3c lên 10 ngày; phí quản lý khấu trừ 10%; 06 bộ hồ sơ + bản scan; hồ sơ hoàn công 30 ngày (gắn điều kiện quyết toán); khoản Gia hạn 7.4 với 3 căn cứ hẹp.</t>
        </is>
      </c>
    </row>
    <row r="30">
      <c r="A30" s="3" t="inlineStr">
        <is>
          <t>IV. NHẬN ĐỊNH VỀ CHẤT LƯỢNG BẢN SỬA CỦA PH VÀ KIẾN NGHỊ</t>
        </is>
      </c>
      <c r="B30" s="4" t="n"/>
      <c r="C30" s="4" t="n"/>
      <c r="D30" s="4" t="n"/>
    </row>
    <row r="31" ht="49.5" customHeight="1">
      <c r="A31" s="13" t="n">
        <v>1</v>
      </c>
      <c r="B31" s="14" t="inlineStr">
        <is>
          <t>Bản của PH có hơn 750 điểm sửa trên 165 đoạn nhưng không rà soát chéo: cùng một vấn đề bị quy định ở 3–5 chỗ với kết quả khác nhau (dừng chờ, gia hạn, ngưỡng chậm thanh toán, thời hạn thanh toán, quyết toán, phát sinh). Có dẫn chiếu tới điều, phụ lục không tồn tại; đánh số trùng, nhảy; viết tắt, sai chính tả. Văn bản này không đạt chuẩn để ký.</t>
        </is>
      </c>
    </row>
    <row r="32" ht="64" customHeight="1">
      <c r="A32" s="13" t="n">
        <v>2</v>
      </c>
      <c r="B32" s="14" t="inlineStr">
        <is>
          <t>Bản đề xuất đàm phán (file Word kèm theo) được lập trên chính bản EC_v1 của anh và phó ban: giữ nguyên toàn bộ track changes của PH và của EC_v1, các đề xuất mới thể hiện bằng track changes tác giả “VNCN E&amp;C - Đề xuất đàm phán” và 23 comment giải thích, phương án lùi. Bản này đã sửa các câu bị cắt cụt ở EC_v1 (thời hạn quyết toán, 13.1(iii)). Sau buổi đàm phán, chấp nhận các thay đổi đã thống nhất để ra bản sạch, đánh lại số và rà dẫn chiếu chéo trước khi ký.</t>
        </is>
      </c>
    </row>
    <row r="33" ht="35" customHeight="1">
      <c r="A33" s="13" t="n">
        <v>3</v>
      </c>
      <c r="B33" s="14" t="inlineStr">
        <is>
          <t>Buổi đàm phán: các điểm tiến độ, thanh toán do lãnh đạo chốt theo sheet “Phương án đàm phán” (đề xuất → phương án lùi → giới hạn cuối); nguyên tắc “nhượng mục III để giữ mục II”; ghi kết quả vào cột “Quyết định tại buổi đàm phán” và Biên bản thương thảo bổ sung.</t>
        </is>
      </c>
    </row>
    <row r="34" ht="35" customHeight="1">
      <c r="A34" s="13" t="n">
        <v>4</v>
      </c>
      <c r="B34" s="14" t="inlineStr">
        <is>
          <t>Trước khi ký: chốt giá trị theo Biểu 01 ngày 15.10.2026 (xử lý chiết khấu 164.702 đ), PH trả lời bằng văn bản các ghi chú “làm rõ” trong Ma trận, pháp chế rà bản sạch cuối cùng.</t>
        </is>
      </c>
    </row>
    <row r="36" ht="30" customHeight="1">
      <c r="A36" s="15" t="inlineStr">
        <is>
          <t>Chú giải: cột tình trạng EC_v1: xanh = đã xử lý, vàng = một phần, cam = chưa xử lý; sheet 3 nền xanh nhạt = lỗi phát sinh ở bản EC_v1 (đã sửa trong bản Word); ô nền cam = rủi ro CAO; vàng đậm = TRUNG BÌNH; xanh = THẤP; ô nền vàng nhạt ở cột phương án = có số đề xuất trong [ ] cần lãnh đạo chốt; dòng nền xám ở sheet 3 = lỗi sẵn có của dự thảo A.</t>
        </is>
      </c>
    </row>
  </sheetData>
  <mergeCells count="21">
    <mergeCell ref="B23:D23"/>
    <mergeCell ref="A4:D4"/>
    <mergeCell ref="B17:D17"/>
    <mergeCell ref="B34:D34"/>
    <mergeCell ref="B28:D28"/>
    <mergeCell ref="B19:D19"/>
    <mergeCell ref="A30:D30"/>
    <mergeCell ref="B24:D24"/>
    <mergeCell ref="A36:D36"/>
    <mergeCell ref="B20:D20"/>
    <mergeCell ref="B33:D33"/>
    <mergeCell ref="A1:D1"/>
    <mergeCell ref="B32:D32"/>
    <mergeCell ref="A16:D16"/>
    <mergeCell ref="B31:D31"/>
    <mergeCell ref="B22:D22"/>
    <mergeCell ref="A26:D26"/>
    <mergeCell ref="B18:D18"/>
    <mergeCell ref="B27:D27"/>
    <mergeCell ref="B21:D21"/>
    <mergeCell ref="A2:D2"/>
  </mergeCells>
  <pageMargins left="0.75" right="0.75" top="1" bottom="1"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I2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32" customWidth="1" min="3" max="3"/>
    <col width="24" customWidth="1" min="4" max="4"/>
    <col width="34" customWidth="1" min="5" max="5"/>
    <col width="34" customWidth="1" min="6" max="6"/>
    <col width="28" customWidth="1" min="7" max="7"/>
    <col width="24" customWidth="1" min="8" max="8"/>
    <col width="22" customWidth="1" min="9" max="9"/>
  </cols>
  <sheetData>
    <row r="1">
      <c r="A1" s="1" t="inlineStr">
        <is>
          <t>PHƯƠNG ÁN ĐÀM PHÁN TIẾN ĐỘ, THANH TOÁN – PHẦN LÃNH ĐẠO CHỐT (HỌP CHIỀU 16/10/2026)</t>
        </is>
      </c>
    </row>
    <row r="2" ht="28" customHeight="1">
      <c r="A2" s="15" t="inlineStr">
        <is>
          <t>Thứ tự sử dụng: đưa ra cột “Đề xuất” trước; chỉ dùng “Phương án lùi” khi cần và đổi lấy điểm ở cột “Đánh đổi”; không vượt “Giới hạn cuối”. Ghi kết quả vào cột cuối.</t>
        </is>
      </c>
    </row>
    <row r="4" ht="32" customHeight="1">
      <c r="A4" s="16" t="inlineStr">
        <is>
          <t>STT</t>
        </is>
      </c>
      <c r="B4" s="16" t="inlineStr">
        <is>
          <t>Nội dung</t>
        </is>
      </c>
      <c r="C4" s="16" t="inlineStr">
        <is>
          <t>Phục Hưng yêu cầu</t>
        </is>
      </c>
      <c r="D4" s="16" t="inlineStr">
        <is>
          <t>BB thương thảo / dự thảo A</t>
        </is>
      </c>
      <c r="E4" s="16" t="inlineStr">
        <is>
          <t>ĐỀ XUẤT TRONG BẢN WORD</t>
        </is>
      </c>
      <c r="F4" s="16" t="inlineStr">
        <is>
          <t>Phương án lùi</t>
        </is>
      </c>
      <c r="G4" s="16" t="inlineStr">
        <is>
          <t>Giới hạn cuối (không lùi thêm)</t>
        </is>
      </c>
      <c r="H4" s="16" t="inlineStr">
        <is>
          <t>Đánh đổi gợi ý</t>
        </is>
      </c>
      <c r="I4" s="16" t="inlineStr">
        <is>
          <t>Kết quả chốt</t>
        </is>
      </c>
    </row>
    <row r="5" ht="35" customHeight="1">
      <c r="A5" s="17" t="n">
        <v>1</v>
      </c>
      <c r="B5" s="18" t="inlineStr">
        <is>
          <t>Tổng thời gian (7.1)</t>
        </is>
      </c>
      <c r="C5" s="19" t="inlineStr">
        <is>
          <t>10,5 tháng + 20 ngày Tết, tính từ “ngày bắt đầu” (~340 ngày)</t>
        </is>
      </c>
      <c r="D5" s="19" t="inlineStr">
        <is>
          <t>268 ngày kể từ ngày ký</t>
        </is>
      </c>
      <c r="E5" s="20" t="inlineStr">
        <is>
          <t>268 ngày kể từ ngày ký, đã gồm Tết; khôi phục 3 mốc</t>
        </is>
      </c>
      <c r="F5" s="19" t="inlineStr">
        <is>
          <t>268 ngày + tối đa 15 ngày nghỉ Tết nếu CĐT chấp thuận cho Tổng thầu</t>
        </is>
      </c>
      <c r="G5" s="21" t="inlineStr">
        <is>
          <t>Không vượt mốc HĐ thầu chính</t>
        </is>
      </c>
      <c r="H5" s="19" t="inlineStr">
        <is>
          <t>Đổi lấy khoản gia hạn hẹp 7.2 i)</t>
        </is>
      </c>
      <c r="I5" s="19" t="n"/>
    </row>
    <row r="6" ht="49.5" customHeight="1">
      <c r="A6" s="17" t="n">
        <v>2</v>
      </c>
      <c r="B6" s="18" t="inlineStr">
        <is>
          <t>Ngày bắt đầu (7.2)</t>
        </is>
      </c>
      <c r="C6" s="19" t="inlineStr">
        <is>
          <t>Ngày muộn nhất của 5 điều kiện (ký HĐ, thiết kế, toàn bộ mặt bằng, điện, nhận đủ tạm ứng)</t>
        </is>
      </c>
      <c r="D6" s="19" t="inlineStr">
        <is>
          <t>Ngày ký HĐ</t>
        </is>
      </c>
      <c r="E6" s="20" t="inlineStr">
        <is>
          <t>Ngày ký HĐ; bàn giao mặt bằng, hố đào theo đợt</t>
        </is>
      </c>
      <c r="F6" s="19" t="inlineStr">
        <is>
          <t>Ngày muộn hơn giữa ký HĐ và thông báo khởi công, không quá 15 ngày từ ngày ký</t>
        </is>
      </c>
      <c r="G6" s="21" t="inlineStr">
        <is>
          <t>Không chấp nhận “toàn bộ mặt bằng” và “nhận đủ tạm ứng” làm điều kiện</t>
        </is>
      </c>
      <c r="H6" s="19" t="inlineStr">
        <is>
          <t>Gia hạn tương ứng nếu Bên A chậm tạm ứng quá 07 ngày</t>
        </is>
      </c>
      <c r="I6" s="19" t="n"/>
    </row>
    <row r="7" ht="35" customHeight="1">
      <c r="A7" s="17" t="n">
        <v>3</v>
      </c>
      <c r="B7" s="18" t="inlineStr">
        <is>
          <t>Gia hạn (7.2 i)</t>
        </is>
      </c>
      <c r="C7" s="19" t="inlineStr">
        <is>
          <t>8 căn cứ, Bên B tự gia hạn</t>
        </is>
      </c>
      <c r="D7" s="19" t="inlineStr">
        <is>
          <t>Chỉ trong phạm vi CĐT gia hạn</t>
        </is>
      </c>
      <c r="E7" s="20" t="inlineStr">
        <is>
          <t>3 căn cứ; thông báo 07 ngày; không vượt phần CĐT gia hạn; không chi phí</t>
        </is>
      </c>
      <c r="F7" s="19" t="inlineStr">
        <is>
          <t>Thêm mưa lớn bất thường có số liệu khí tượng (chỉ gia hạn thời gian)</t>
        </is>
      </c>
      <c r="G7" s="21" t="inlineStr">
        <is>
          <t>Không gia hạn vì chậm thanh toán</t>
        </is>
      </c>
      <c r="H7" s="19" t="inlineStr">
        <is>
          <t>—</t>
        </is>
      </c>
      <c r="I7" s="19" t="n"/>
    </row>
    <row r="8" ht="35" customHeight="1">
      <c r="A8" s="17" t="n">
        <v>4</v>
      </c>
      <c r="B8" s="18" t="inlineStr">
        <is>
          <t>Tạm ứng (10.3.1)</t>
        </is>
      </c>
      <c r="C8" s="19" t="inlineStr">
        <is>
          <t>30%, 07 ngày làm việc, bỏ điều kiện tập kết thiết bị</t>
        </is>
      </c>
      <c r="D8" s="19" t="inlineStr">
        <is>
          <t>20%</t>
        </is>
      </c>
      <c r="E8" s="20" t="inlineStr">
        <is>
          <t>20%; chấp nhận 07 ngày làm việc; giữ điều kiện tập kết thiết bị</t>
        </is>
      </c>
      <c r="F8" s="19" t="inlineStr">
        <is>
          <t>2 đợt 10% + 10%; hoặc 25% nếu PH bỏ chi phí chung 70%</t>
        </is>
      </c>
      <c r="G8" s="21" t="inlineStr">
        <is>
          <t>Tối đa 25%, bảo lãnh tạm ứng 100%</t>
        </is>
      </c>
      <c r="H8" s="19" t="inlineStr">
        <is>
          <t>Nâng tạm ứng đổi lấy bỏ trả trước chi phí chung</t>
        </is>
      </c>
      <c r="I8" s="19" t="n"/>
    </row>
    <row r="9" ht="35" customHeight="1">
      <c r="A9" s="17" t="n">
        <v>5</v>
      </c>
      <c r="B9" s="18" t="inlineStr">
        <is>
          <t>Chi phí chung, cẩu tháp</t>
        </is>
      </c>
      <c r="C9" s="19" t="inlineStr">
        <is>
          <t>Chi phí chung 70% khi huy động; cẩu tháp 100% khi lắp</t>
        </is>
      </c>
      <c r="D9" s="19" t="inlineStr">
        <is>
          <t>Theo tỷ lệ hoàn thành</t>
        </is>
      </c>
      <c r="E9" s="20" t="inlineStr">
        <is>
          <t>Chi phí chung 20%/80%; cẩu tháp 30%/60%/10%</t>
        </is>
      </c>
      <c r="F9" s="19" t="inlineStr">
        <is>
          <t>Chi phí chung 30%; cẩu tháp 40% khi vận hành</t>
        </is>
      </c>
      <c r="G9" s="21" t="inlineStr">
        <is>
          <t>Chi phí chung không quá 30% trả trước</t>
        </is>
      </c>
      <c r="H9" s="19" t="inlineStr">
        <is>
          <t>—</t>
        </is>
      </c>
      <c r="I9" s="19" t="n"/>
    </row>
    <row r="10" ht="35" customHeight="1">
      <c r="A10" s="17" t="n">
        <v>6</v>
      </c>
      <c r="B10" s="18" t="inlineStr">
        <is>
          <t>Thanh toán vật tư</t>
        </is>
      </c>
      <c r="C10" s="19" t="inlineStr">
        <is>
          <t>80%/65% giá trị thép, bê tông</t>
        </is>
      </c>
      <c r="D10" s="19" t="inlineStr">
        <is>
          <t>Không tạm ứng vật tư</t>
        </is>
      </c>
      <c r="E10" s="20" t="inlineStr">
        <is>
          <t>Xóa (bản EC_v1 đã xóa)</t>
        </is>
      </c>
      <c r="F10" s="19" t="inlineStr">
        <is>
          <t>Thép tập kết, đã nghiệm thu, tối đa 50%, có bảo lãnh, dư nợ ≤ 5% GTHĐ</t>
        </is>
      </c>
      <c r="G10" s="21" t="inlineStr">
        <is>
          <t>Không có bảo lãnh thì không</t>
        </is>
      </c>
      <c r="H10" s="19" t="inlineStr">
        <is>
          <t>—</t>
        </is>
      </c>
      <c r="I10" s="19" t="n"/>
    </row>
    <row r="11" ht="35" customHeight="1">
      <c r="A11" s="17" t="n">
        <v>7</v>
      </c>
      <c r="B11" s="18" t="inlineStr">
        <is>
          <t>Thời hạn duyệt, thanh toán đợt</t>
        </is>
      </c>
      <c r="C11" s="19" t="inlineStr">
        <is>
          <t>15 ngày, im lặng = phê duyệt; trả 07 ngày làm việc</t>
        </is>
      </c>
      <c r="D11" s="19" t="inlineStr">
        <is>
          <t>Back-to-back, thanh toán 14 ngày</t>
        </is>
      </c>
      <c r="E11" s="20" t="inlineStr">
        <is>
          <t>Back-to-back; 14 ngày sau khi hồ sơ được xác nhận; không im lặng</t>
        </is>
      </c>
      <c r="F11" s="19" t="inlineStr">
        <is>
          <t>Bên A phản hồi lần đầu trong 10 ngày làm việc</t>
        </is>
      </c>
      <c r="G11" s="21" t="inlineStr">
        <is>
          <t>Không chấp nhận im lặng = phê duyệt</t>
        </is>
      </c>
      <c r="H11" s="19" t="inlineStr">
        <is>
          <t>Chấp nhận kỳ tháng, bỏ ngưỡng 2 tỷ</t>
        </is>
      </c>
      <c r="I11" s="19" t="n"/>
    </row>
    <row r="12" ht="35" customHeight="1">
      <c r="A12" s="17" t="n">
        <v>8</v>
      </c>
      <c r="B12" s="18" t="inlineStr">
        <is>
          <t>Xác nhận TVGS/CĐT</t>
        </is>
      </c>
      <c r="C12" s="19" t="inlineStr">
        <is>
          <t>Bỏ</t>
        </is>
      </c>
      <c r="D12" s="19" t="inlineStr">
        <is>
          <t>Back-to-back</t>
        </is>
      </c>
      <c r="E12" s="20" t="inlineStr">
        <is>
          <t>Khôi phục</t>
        </is>
      </c>
      <c r="F12" s="19" t="inlineStr">
        <is>
          <t>TVGS chậm &gt; 10 ngày không do Bên B: tạm trả 70% khối lượng Bên A xác nhận</t>
        </is>
      </c>
      <c r="G12" s="21" t="inlineStr">
        <is>
          <t>—</t>
        </is>
      </c>
      <c r="H12" s="19" t="inlineStr">
        <is>
          <t>—</t>
        </is>
      </c>
      <c r="I12" s="19" t="n"/>
    </row>
    <row r="13" ht="35" customHeight="1">
      <c r="A13" s="17" t="n">
        <v>9</v>
      </c>
      <c r="B13" s="18" t="inlineStr">
        <is>
          <t>Quyết toán</t>
        </is>
      </c>
      <c r="C13" s="19" t="inlineStr">
        <is>
          <t>14 ngày kể từ nhận hồ sơ, không phụ thuộc CĐT</t>
        </is>
      </c>
      <c r="D13" s="19" t="inlineStr">
        <is>
          <t>Back-to-back</t>
        </is>
      </c>
      <c r="E13" s="20" t="inlineStr">
        <is>
          <t>14 ngày sau khi CĐT thanh toán; CĐT chậm thì lùi</t>
        </is>
      </c>
      <c r="F13" s="19" t="inlineStr">
        <is>
          <t>CĐT chậm &gt; 90 ngày không do Bên B: trả trước 50% phần còn lại</t>
        </is>
      </c>
      <c r="G13" s="21" t="inlineStr">
        <is>
          <t>—</t>
        </is>
      </c>
      <c r="H13" s="19" t="inlineStr">
        <is>
          <t>—</t>
        </is>
      </c>
      <c r="I13" s="19" t="n"/>
    </row>
    <row r="14" ht="35" customHeight="1">
      <c r="A14" s="17" t="n">
        <v>10</v>
      </c>
      <c r="B14" s="18" t="inlineStr">
        <is>
          <t>Lãi chậm trả</t>
        </is>
      </c>
      <c r="C14" s="19" t="inlineStr">
        <is>
          <t>150% lãi tiết kiệm 01 tháng VCB</t>
        </is>
      </c>
      <c r="D14" s="19" t="inlineStr">
        <is>
          <t>Lãi huy động ngân hàng Bên B, không bù tiến độ</t>
        </is>
      </c>
      <c r="E14" s="20" t="inlineStr">
        <is>
          <t>Không quy định (bản EC_v1 đã xóa)</t>
        </is>
      </c>
      <c r="F14" s="19" t="inlineStr">
        <is>
          <t>Lãi tiền gửi 01 tháng NH Bên B; chậm &gt; 14 ngày do lỗi Bên A; loại trừ CĐT chậm</t>
        </is>
      </c>
      <c r="G14" s="21" t="inlineStr">
        <is>
          <t>Không nhân 150%; không bù tiến độ</t>
        </is>
      </c>
      <c r="H14" s="19" t="inlineStr">
        <is>
          <t>—</t>
        </is>
      </c>
      <c r="I14" s="19" t="n"/>
    </row>
    <row r="15" ht="35" customHeight="1">
      <c r="A15" s="17" t="n">
        <v>11</v>
      </c>
      <c r="B15" s="18" t="inlineStr">
        <is>
          <t>Điều chỉnh giá (9.4)</t>
        </is>
      </c>
      <c r="C15" s="19" t="inlineStr">
        <is>
          <t>Thép, bê tông ±5%, hằng tháng</t>
        </is>
      </c>
      <c r="D15" s="19" t="inlineStr">
        <is>
          <t>Đơn giá cố định</t>
        </is>
      </c>
      <c r="E15" s="20" t="inlineStr">
        <is>
          <t>Xóa 9.4</t>
        </is>
      </c>
      <c r="F15" s="19" t="inlineStr">
        <is>
          <t>Riêng thép ±10% theo giá Liên Sở, ≤ mức CĐT duyệt cho Tổng thầu</t>
        </is>
      </c>
      <c r="G15" s="21" t="inlineStr">
        <is>
          <t>Không chấp nhận bê tông; không độc lập với CĐT</t>
        </is>
      </c>
      <c r="H15" s="19" t="inlineStr">
        <is>
          <t>—</t>
        </is>
      </c>
      <c r="I15" s="19" t="n"/>
    </row>
    <row r="16" ht="35" customHeight="1">
      <c r="A16" s="17" t="n">
        <v>12</v>
      </c>
      <c r="B16" s="18" t="inlineStr">
        <is>
          <t>Tạm dừng do chậm thanh toán (17.1)</t>
        </is>
      </c>
      <c r="C16" s="19" t="inlineStr">
        <is>
          <t>07 ngày, không báo trước</t>
        </is>
      </c>
      <c r="D16" s="19" t="inlineStr">
        <is>
          <t>56 ngày</t>
        </is>
      </c>
      <c r="E16" s="20" t="inlineStr">
        <is>
          <t>45 ngày (EC_v1); thông báo 28 ngày; loại trừ CĐT chậm</t>
        </is>
      </c>
      <c r="F16" s="19" t="inlineStr">
        <is>
          <t>Thông báo 14 ngày</t>
        </is>
      </c>
      <c r="G16" s="21" t="inlineStr">
        <is>
          <t>Không dưới 45 ngày</t>
        </is>
      </c>
      <c r="H16" s="19" t="inlineStr">
        <is>
          <t>—</t>
        </is>
      </c>
      <c r="I16" s="19" t="n"/>
    </row>
    <row r="17" ht="35" customHeight="1">
      <c r="A17" s="17" t="n">
        <v>13</v>
      </c>
      <c r="B17" s="18" t="inlineStr">
        <is>
          <t>Chấm dứt do chậm thanh toán/tạm dừng (17.2c)</t>
        </is>
      </c>
      <c r="C17" s="19" t="inlineStr">
        <is>
          <t>30 ngày; tạm dừng 30 ngày; báo trước 15 ngày</t>
        </is>
      </c>
      <c r="D17" s="19" t="inlineStr">
        <is>
          <t>60 ngày</t>
        </is>
      </c>
      <c r="E17" s="20" t="inlineStr">
        <is>
          <t>60 ngày; tạm dừng 45 ngày do lỗi Bên A; báo trước 28 ngày</t>
        </is>
      </c>
      <c r="F17" s="19" t="inlineStr">
        <is>
          <t>Báo trước 21 ngày</t>
        </is>
      </c>
      <c r="G17" s="21" t="inlineStr">
        <is>
          <t>—</t>
        </is>
      </c>
      <c r="H17" s="19" t="inlineStr">
        <is>
          <t>—</t>
        </is>
      </c>
      <c r="I17" s="19" t="n"/>
    </row>
    <row r="18" ht="35" customHeight="1">
      <c r="A18" s="17" t="n">
        <v>14</v>
      </c>
      <c r="B18" s="18" t="inlineStr">
        <is>
          <t>Trần phạt (18)</t>
        </is>
      </c>
      <c r="C18" s="19" t="inlineStr">
        <is>
          <t>8%</t>
        </is>
      </c>
      <c r="D18" s="19" t="inlineStr">
        <is>
          <t>12% (chuẩn công ty)</t>
        </is>
      </c>
      <c r="E18" s="20" t="inlineStr">
        <is>
          <t>12%</t>
        </is>
      </c>
      <c r="F18" s="19" t="inlineStr">
        <is>
          <t>10%</t>
        </is>
      </c>
      <c r="G18" s="21" t="inlineStr">
        <is>
          <t>Không dưới 10% (8% = trần riêng phạt tiến độ)</t>
        </is>
      </c>
      <c r="H18" s="19" t="inlineStr">
        <is>
          <t>—</t>
        </is>
      </c>
      <c r="I18" s="19" t="n"/>
    </row>
    <row r="19" ht="20.5" customHeight="1">
      <c r="A19" s="17" t="n">
        <v>15</v>
      </c>
      <c r="B19" s="18" t="inlineStr">
        <is>
          <t>Bảo lãnh thanh toán (20.4)</t>
        </is>
      </c>
      <c r="C19" s="19" t="inlineStr">
        <is>
          <t>15% GTHĐ</t>
        </is>
      </c>
      <c r="D19" s="19" t="inlineStr">
        <is>
          <t>Không</t>
        </is>
      </c>
      <c r="E19" s="20" t="inlineStr">
        <is>
          <t>Xóa</t>
        </is>
      </c>
      <c r="F19" s="19" t="inlineStr">
        <is>
          <t>Không</t>
        </is>
      </c>
      <c r="G19" s="21" t="inlineStr">
        <is>
          <t>Không</t>
        </is>
      </c>
      <c r="H19" s="19" t="inlineStr">
        <is>
          <t>—</t>
        </is>
      </c>
      <c r="I19" s="19" t="n"/>
    </row>
    <row r="20" ht="35" customHeight="1">
      <c r="A20" s="17" t="n">
        <v>16</v>
      </c>
      <c r="B20" s="18" t="inlineStr">
        <is>
          <t>Phí quản lý khấu trừ (3.5) / trần phát sinh (13.1)</t>
        </is>
      </c>
      <c r="C20" s="19" t="inlineStr">
        <is>
          <t>Xóa</t>
        </is>
      </c>
      <c r="D20" s="19" t="inlineStr">
        <is>
          <t>15% / giá CĐT − 15%</t>
        </is>
      </c>
      <c r="E20" s="20" t="inlineStr">
        <is>
          <t>10% / giá CĐT − 10%</t>
        </is>
      </c>
      <c r="F20" s="19" t="inlineStr">
        <is>
          <t>5% / giá CĐT − 5%</t>
        </is>
      </c>
      <c r="G20" s="21" t="inlineStr">
        <is>
          <t>—</t>
        </is>
      </c>
      <c r="H20" s="19" t="inlineStr">
        <is>
          <t>—</t>
        </is>
      </c>
      <c r="I20" s="19" t="n"/>
    </row>
    <row r="21" ht="20.5" customHeight="1">
      <c r="A21" s="17" t="n">
        <v>17</v>
      </c>
      <c r="B21" s="18" t="inlineStr">
        <is>
          <t>Giá trị HĐ (9.3a)</t>
        </is>
      </c>
      <c r="C21" s="19" t="inlineStr">
        <is>
          <t>—</t>
        </is>
      </c>
      <c r="D21" s="19" t="inlineStr">
        <is>
          <t>—</t>
        </is>
      </c>
      <c r="E21" s="20" t="inlineStr">
        <is>
          <t>216.334.704.781 đ (Biểu 01 15.10.2026)</t>
        </is>
      </c>
      <c r="F21" s="19" t="inlineStr">
        <is>
          <t>Chờ chốt chiết khấu 164.702 đ</t>
        </is>
      </c>
      <c r="G21" s="21" t="inlineStr">
        <is>
          <t>—</t>
        </is>
      </c>
      <c r="H21" s="19" t="inlineStr">
        <is>
          <t>—</t>
        </is>
      </c>
      <c r="I21" s="19" t="n"/>
    </row>
  </sheetData>
  <mergeCells count="2">
    <mergeCell ref="A1:I1"/>
    <mergeCell ref="A2:I2"/>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Q7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48" customWidth="1" min="3" max="3"/>
    <col width="48" customWidth="1" min="4" max="4"/>
    <col width="11" customWidth="1" min="5" max="5"/>
    <col width="11" customWidth="1" min="6" max="6"/>
    <col width="40" customWidth="1" min="7" max="7"/>
    <col width="42" customWidth="1" min="8" max="8"/>
    <col width="52" customWidth="1" min="9" max="9"/>
    <col width="36" customWidth="1" min="10" max="10"/>
    <col width="18" customWidth="1" min="11" max="11"/>
    <col width="14" customWidth="1" min="12" max="12"/>
    <col width="26" customWidth="1" min="13" max="13"/>
    <col width="40" customWidth="1" min="14" max="14"/>
    <col width="12" customWidth="1" min="15" max="15"/>
    <col width="18" customWidth="1" min="16" max="16"/>
    <col width="20" customWidth="1" min="17" max="17"/>
  </cols>
  <sheetData>
    <row r="1">
      <c r="A1" s="1" t="inlineStr">
        <is>
          <t>BẢNG ĐỐI CHIẾU CHI TIẾT – BẢN PHỤC HƯNG, BẢN EC_v1 VÀ BẢN ĐỀ XUẤT ĐÀM PHÁN – HĐ PHẦN NGẦM NOXH YÊN SỞ</t>
        </is>
      </c>
    </row>
    <row r="2" ht="30" customHeight="1">
      <c r="A2" s="22" t="inlineStr">
        <is>
          <t>Nguồn: “PH vie - 261015 HĐ NOXH YÊN SỞ - PHẦN NGẦM EC-PHC.docx” (track changes của PH) đối chiếu dự thảo Bên A 14.10.2026, Biên bản thương thảo, HĐ thầu chính 01/2026/HĐTTXL/LDIFT-TP &amp; LD VNCNEC-VH. Cột C, D trích nguyên văn; số trong [ ] ở cột I, J (ô nền vàng) là số đề xuất – lãnh đạo chốt. P… = số thứ tự đoạn trong file của PH.</t>
        </is>
      </c>
    </row>
    <row r="4" ht="45" customHeight="1">
      <c r="A4" s="16" t="inlineStr">
        <is>
          <t>STT</t>
        </is>
      </c>
      <c r="B4" s="16" t="inlineStr">
        <is>
          <t>Điều khoản</t>
        </is>
      </c>
      <c r="C4" s="16" t="inlineStr">
        <is>
          <t>Dự thảo Bên A (nguyên văn)</t>
        </is>
      </c>
      <c r="D4" s="16" t="inlineStr">
        <is>
          <t>Phục Hưng sửa đổi (nguyên văn)</t>
        </is>
      </c>
      <c r="E4" s="16" t="inlineStr">
        <is>
          <t>Loại sửa đổi</t>
        </is>
      </c>
      <c r="F4" s="16" t="inlineStr">
        <is>
          <t>Mức rủi ro</t>
        </is>
      </c>
      <c r="G4" s="16" t="inlineStr">
        <is>
          <t>Phân tích rủi ro cho Bên A</t>
        </is>
      </c>
      <c r="H4" s="16" t="inlineStr">
        <is>
          <t>Trùng lặp / mâu thuẫn / lỗi kỹ thuật do PH tạo ra</t>
        </is>
      </c>
      <c r="I4" s="16" t="inlineStr">
        <is>
          <t>PHƯƠNG ÁN TỐT NHẤT
(câu chữ đề xuất gửi PH)</t>
        </is>
      </c>
      <c r="J4" s="16" t="inlineStr">
        <is>
          <t>Phương án lùi
(chỉ dùng khi cần nhượng bộ)</t>
        </is>
      </c>
      <c r="K4" s="16" t="inlineStr">
        <is>
          <t>Căn cứ</t>
        </is>
      </c>
      <c r="L4" s="16" t="inlineStr">
        <is>
          <t>Tình trạng ở bản EC_v1 16/10 (anh + phó ban)</t>
        </is>
      </c>
      <c r="M4" s="16" t="inlineStr">
        <is>
          <t>Ghi chú bản EC_v1</t>
        </is>
      </c>
      <c r="N4" s="16" t="inlineStr">
        <is>
          <t>ĐÃ ĐƯA VÀO BẢN WORD ĐÀM PHÁN
(track changes “VNCN E&amp;C - Đề xuất đàm phán”)</t>
        </is>
      </c>
      <c r="O4" s="16" t="inlineStr">
        <is>
          <t>Thẩm quyền chốt</t>
        </is>
      </c>
      <c r="P4" s="16" t="inlineStr">
        <is>
          <t>Quyết định tại buổi đàm phán</t>
        </is>
      </c>
      <c r="Q4" s="16" t="inlineStr">
        <is>
          <t>Ghi chú</t>
        </is>
      </c>
    </row>
    <row r="5" ht="22" customHeight="1">
      <c r="A5" s="23" t="inlineStr">
        <is>
          <t>PHẦN ĐẦU, ĐIỀU 1 – GIẢI THÍCH TỪ NGỮ</t>
        </is>
      </c>
      <c r="B5" s="24" t="n"/>
      <c r="C5" s="24" t="n"/>
      <c r="D5" s="24" t="n"/>
      <c r="E5" s="24" t="n"/>
      <c r="F5" s="24" t="n"/>
      <c r="G5" s="24" t="n"/>
      <c r="H5" s="24" t="n"/>
      <c r="I5" s="24" t="n"/>
      <c r="J5" s="24" t="n"/>
      <c r="K5" s="24" t="n"/>
      <c r="L5" s="24" t="n"/>
      <c r="M5" s="24" t="n"/>
      <c r="N5" s="24" t="n"/>
      <c r="O5" s="24" t="n"/>
      <c r="P5" s="24" t="n"/>
      <c r="Q5" s="24" t="n"/>
    </row>
    <row r="6" ht="78.5" customHeight="1">
      <c r="A6" s="17" t="n">
        <v>1</v>
      </c>
      <c r="B6" s="18" t="inlineStr">
        <is>
          <t>Trang bìa, phần đầu, 1.3
(P6, P34, P21, P106)</t>
        </is>
      </c>
      <c r="C6" s="19" t="inlineStr">
        <is>
          <t>• Số:................ /2026-HĐXD/VNCNEC-......
• Số: /2026/HĐ/VNCNEC-
• CÔNG TY ......
• 1.3. Bên B: là Công ty Cổ phần Phục Hưng Holdings.</t>
        </is>
      </c>
      <c r="D6" s="19" t="inlineStr">
        <is>
          <t>• Số:................ /2026-HĐXD/VNCNEC-PHC.
• Số: /2026/HĐ/VNCNEC-PHC
• CÔNG TY CỔ PHẦN XÂY DỰNG PHỤC HƯNG HOLDINGS
• 1.3. Bên B: là Công ty Cổ phần Xây dựng Phục Hưng Holdings.</t>
        </is>
      </c>
      <c r="E6" s="17" t="inlineStr">
        <is>
          <t>Sửa</t>
        </is>
      </c>
      <c r="F6" s="25" t="inlineStr">
        <is>
          <t>THẤP</t>
        </is>
      </c>
      <c r="G6" s="19" t="inlineStr">
        <is>
          <t>Không ảnh hưởng quyền lợi Bên A.</t>
        </is>
      </c>
      <c r="H6" s="19" t="inlineStr">
        <is>
          <t>Số HĐ đang có 03 định dạng khác nhau: trang bìa “…/2026-HĐXD/VNCNEC-PHC.”, phần đầu “…/2026/HĐ/VNCNEC-PHC”, Biểu 01 “…/2026/HĐ/YS/BXD”.</t>
        </is>
      </c>
      <c r="I6" s="26" t="inlineStr">
        <is>
          <t>Chấp nhận tên “Công ty Cổ phần Xây dựng Phục Hưng Holdings”. Thống nhất 01 số HĐ duy nhất “[…]/2026/HĐXD/VNCNEC-PHC” cho trang bìa, phần đầu và toàn bộ các Biểu. PH phải nộp ĐKKD bản mới nhất, giấy ủy quyền người ký (nếu có) trước ngày ký.</t>
        </is>
      </c>
      <c r="J6" s="19" t="inlineStr">
        <is>
          <t>—</t>
        </is>
      </c>
      <c r="K6" s="19" t="inlineStr">
        <is>
          <t>Hồ sơ pháp lý của PH</t>
        </is>
      </c>
      <c r="L6" s="27" t="inlineStr">
        <is>
          <t>Chưa xử lý</t>
        </is>
      </c>
      <c r="M6" s="19" t="inlineStr"/>
      <c r="N6" s="28" t="inlineStr">
        <is>
          <t>Thống nhất số HĐ “……/2026/HĐXD/VNCNEC-PHC” tại trang bìa, phần đầu và 05 Biểu.</t>
        </is>
      </c>
      <c r="O6" s="29" t="inlineStr">
        <is>
          <t>Ban HĐ</t>
        </is>
      </c>
      <c r="P6" s="19" t="n"/>
      <c r="Q6" s="19" t="n"/>
    </row>
    <row r="7" ht="194.5" customHeight="1">
      <c r="A7" s="17" t="n">
        <v>2</v>
      </c>
      <c r="B7" s="18" t="inlineStr">
        <is>
          <t>1.20 Phần ngầm
(P123)</t>
        </is>
      </c>
      <c r="C7" s="19" t="inlineStr">
        <is>
          <t>• 1.20. Phần ngầm: là toàn bộ công việc thi công hệ cừ, văng chống; kết cấu bê tông cốt thép phần ngầm (móng, đài, giằng, sàn đáy, tường tầng hầm, cột, vách, dầm, sàn tầng hầm) đến hết cao độ ±0.00 (hoàn thành bê tông sàn tầng 1), kết cấu bể nước sinh hoạt, bể nước PCCC, bể nước xử lý nước thải, móng cẩu tháp và công tác chống thấm các kết cấu nằm dưới cao độ này theo Hồ sơ thiết kế được duyệt. Ranh giới chi tiết theo Biểu 01, Biểu 02 và Biểu 03. Công tác đất (đào, vận chuyển, đổ thải, đắp đất, đập đầu cọc, san gạt nền), công tác chống mối, cọc khoan nhồi móng cẩu tháp, công tác hoàn thiện ướt (xây, trát, ốp, lát, sơn, bả) và kết cấu, hoàn thiện phần thân không thuộc phạm vi Hợp đồng này.</t>
        </is>
      </c>
      <c r="D7" s="19" t="inlineStr">
        <is>
          <t>• [Xóa toàn bộ nội dung, chỉ để lại số mục “1.20.”]
► Comment PH: Quy định chi tiết ở phụ lục giá, không kê chi tiết trong định nghĩa</t>
        </is>
      </c>
      <c r="E7" s="17" t="inlineStr">
        <is>
          <t>Xóa (để lại số mục trống)</t>
        </is>
      </c>
      <c r="F7" s="30" t="inlineStr">
        <is>
          <t>TRUNG BÌNH</t>
        </is>
      </c>
      <c r="G7" s="19" t="inlineStr">
        <is>
          <t>Mất định nghĩa phạm vi và danh mục loại trừ (công tác đất, chống mối, hoàn thiện ướt, cọc khoan nhồi móng cẩu tháp). Phạm vi chỉ còn nằm ở bảng giá → PH có cơ sở lập luận “ngoài BOQ là phát sinh”.</t>
        </is>
      </c>
      <c r="H7" s="19" t="inlineStr">
        <is>
          <t>Thuật ngữ viết hoa “Phần ngầm” vẫn dùng ở 4.1.2, 5.10, 9.2, 12.2.1 f, h… nhưng không còn định nghĩa. Số mục “1.20.” bỏ trống.</t>
        </is>
      </c>
      <c r="I7" s="31" t="inlineStr">
        <is>
          <t>1.20. Phần ngầm: là toàn bộ công việc thuộc phạm vi Hợp đồng theo Biểu 01, Biểu 02 và Biểu 03, gồm hệ cừ, văng chống; kết cấu bê tông cốt thép phần ngầm đến cao độ ±0.00; bể nước sinh hoạt, bể PCCC, bể xử lý nước thải; móng cẩu tháp và chống thấm phần ngầm. Công tác đất, chống mối, cọc khoan nhồi móng cẩu tháp và hoàn thiện ướt không thuộc phạm vi Hợp đồng.</t>
        </is>
      </c>
      <c r="J7" s="19" t="inlineStr">
        <is>
          <t>Chỉ giữ 02 câu: dẫn chiếu Biểu 01, 02, 03 và câu loại trừ.</t>
        </is>
      </c>
      <c r="K7" s="19" t="inlineStr">
        <is>
          <t>Ma trận 14.10.2026</t>
        </is>
      </c>
      <c r="L7" s="27" t="inlineStr">
        <is>
          <t>Chưa xử lý</t>
        </is>
      </c>
      <c r="M7" s="19" t="inlineStr"/>
      <c r="N7" s="28" t="inlineStr">
        <is>
          <t>Khôi phục định nghĩa rút gọn (PA tốt nhất).</t>
        </is>
      </c>
      <c r="O7" s="29" t="inlineStr">
        <is>
          <t>Ban HĐ</t>
        </is>
      </c>
      <c r="P7" s="19" t="n"/>
      <c r="Q7" s="19" t="n"/>
    </row>
    <row r="8" ht="78.5" customHeight="1">
      <c r="A8" s="17" t="n">
        <v>3</v>
      </c>
      <c r="B8" s="18" t="inlineStr">
        <is>
          <t>1.25 Công trường
(P128)</t>
        </is>
      </c>
      <c r="C8" s="19" t="inlineStr">
        <is>
          <t>• 1.25. Công trường: là địa điểm Chủ đầu tư giao cho Bên A để thi công công trình cũng như bất kỳ địa điểm nào khác được quy định trong hợp đồng.</t>
        </is>
      </c>
      <c r="D8" s="19" t="inlineStr">
        <is>
          <t>• 1.25. Công trường: là khối nhà ở xã hội CT1.2 và CT2 (CT2.1, CT2.2 và CT2.3) Dự án NOXH Yên Sở .</t>
        </is>
      </c>
      <c r="E8" s="17" t="inlineStr">
        <is>
          <t>Sửa</t>
        </is>
      </c>
      <c r="F8" s="30" t="inlineStr">
        <is>
          <t>TRUNG BÌNH</t>
        </is>
      </c>
      <c r="G8" s="19" t="inlineStr">
        <is>
          <t>Định nghĩa bị thu hẹp chỉ còn các khối nhà. Lán trại, bãi gia công, đường công vụ, cầu rửa xe, vị trí cẩu tháp nằm ngoài “Công trường” → nghĩa vụ an toàn, vệ sinh, bảo vệ, thu dọn của Bên B tại các khu vực này không rõ.</t>
        </is>
      </c>
      <c r="H8" s="19" t="inlineStr">
        <is>
          <t>Mâu thuẫn với 12.2.12 (Bên B chỉ hoạt động trong phạm vi Công trường “và các khu vực bổ sung”) và Biểu 02 mục 2 (đường công vụ, bãi gia công).</t>
        </is>
      </c>
      <c r="I8" s="31" t="inlineStr">
        <is>
          <t>1.25. Công trường: là khu vực thi công khối nhà ở xã hội CT1.2 và CT2 (CT2.1, CT2.2, CT2.3) Dự án NOXH Yên Sở và các khu vực phụ trợ (đường công vụ, bãi gia công, tập kết vật tư, lán trại, vị trí cẩu tháp, cầu rửa xe) do Bên A bố trí cho Bên B.</t>
        </is>
      </c>
      <c r="J8" s="19" t="inlineStr">
        <is>
          <t>Giữ câu chữ của PH, bổ sung “bao gồm các khu vực phụ trợ do Bên A bố trí”.</t>
        </is>
      </c>
      <c r="K8" s="19" t="inlineStr">
        <is>
          <t>—</t>
        </is>
      </c>
      <c r="L8" s="27" t="inlineStr">
        <is>
          <t>Chưa xử lý</t>
        </is>
      </c>
      <c r="M8" s="19" t="inlineStr"/>
      <c r="N8" s="28" t="inlineStr">
        <is>
          <t>PA tốt nhất (bổ sung khu vực phụ trợ).</t>
        </is>
      </c>
      <c r="O8" s="29" t="inlineStr">
        <is>
          <t>Ban HĐ</t>
        </is>
      </c>
      <c r="P8" s="19" t="n"/>
      <c r="Q8" s="19" t="n"/>
    </row>
    <row r="9" ht="22" customHeight="1">
      <c r="A9" s="23" t="inlineStr">
        <is>
          <t>ĐIỀU 2 – HỒ SƠ HỢP ĐỒNG VÀ THỨ TỰ ƯU TIÊN</t>
        </is>
      </c>
      <c r="B9" s="24" t="n"/>
      <c r="C9" s="24" t="n"/>
      <c r="D9" s="24" t="n"/>
      <c r="E9" s="24" t="n"/>
      <c r="F9" s="24" t="n"/>
      <c r="G9" s="24" t="n"/>
      <c r="H9" s="24" t="n"/>
      <c r="I9" s="24" t="n"/>
      <c r="J9" s="24" t="n"/>
      <c r="K9" s="24" t="n"/>
      <c r="L9" s="24" t="n"/>
      <c r="M9" s="24" t="n"/>
      <c r="N9" s="24" t="n"/>
      <c r="O9" s="24" t="n"/>
      <c r="P9" s="24" t="n"/>
      <c r="Q9" s="24" t="n"/>
    </row>
    <row r="10" ht="296" customHeight="1">
      <c r="A10" s="17" t="n">
        <v>4</v>
      </c>
      <c r="B10" s="18" t="inlineStr">
        <is>
          <t>Điều 2
(P132, P133, P134, P135, P136, P137, P138)</t>
        </is>
      </c>
      <c r="C10" s="19" t="inlineStr">
        <is>
          <t>• a) Hợp đồng;
• b) Các Biểu chi tiết kèm theo Hợp đồng;
• c) Phần Hồ sơ thiết kế có liên quan;
• d) Phần Chỉ dẫn kỹ thuật có liên quan;
• e) Các tài liệu khác có liên quan (nếu có).
• Trường hợp có mâu thuẫn giữa các tài liệu, áp dụng tài liệu có thứ tự ưu tiên cao hơn; riêng yêu cầu về chất lượng, kỹ thuật, an toàn thì áp dụng yêu cầu cao hơn. Bên B có nghĩa vụ thực hiện theo văn bản giải thích của Bên A.</t>
        </is>
      </c>
      <c r="D10" s="19" t="inlineStr">
        <is>
          <t>• a) Hợp đồng và các Phụ lục đính kèm Hợp đồng, các phụ lục bổ sung, sửa đổi các điều khoản trong văn bản Hợp đồng này (nếu có);
• b) Thông báo trúng thầu;
• c) Hồ sơ mời thầu của Bên A và các câu hỏi làm rõ gói thầu;
• d) Hồ sơ dự thầu của Bên B;
• e) Các chỉ dẫn kỹ thuật, các bản vẽ thiết kế kỹ thuật, bản vẽ thi công và các tài liệu Bên A cung cấp cho Bên B trong giai đoạn đấu thầu được đính kèm trong Hợp đồng này.
• Những tài liệu cấu thành nên Hồ sơ Hợp đồng là quan hệ thống nhất giải thích tương hỗ cho nhau, trường hợp có điểm nào không rõ ràng hoặc không thống nhất thì thứ tự ưu tiên các tài liệu cấu thành Hồ sơ Hợp đồng theo trình tự sắp xếp từ khỏan a đến khoản e như trên.
• Nếu có sự không rõ ràng hoặc khác biệt được tìm thấy trong cùng một tài liệu, Bên A sẽ đưa ra những giải thích hoặc chỉ thị hoặc chỉ dẫn cần thiết, phù hợp cho Bên B và quyết định của Bên A sẽ là quyết định cuối cùng.</t>
        </is>
      </c>
      <c r="E10" s="17" t="inlineStr">
        <is>
          <t>Thay thế toàn bộ</t>
        </is>
      </c>
      <c r="F10" s="27" t="inlineStr">
        <is>
          <t>CAO</t>
        </is>
      </c>
      <c r="G10" s="19" t="inlineStr">
        <is>
          <t>HSDT của Bên B xếp trên CDKT, bản vẽ → giả định, loại trừ, biện pháp rẻ trong HSDT thắng thiết kế. Bỏ nguyên tắc “áp dụng yêu cầu cao hơn”. Quyền giải thích của Bên A chỉ còn “trong cùng một tài liệu”. Bản vẽ chỉ gồm tài liệu “giai đoạn đấu thầu” → bản vẽ thi công phát hành sau không thuộc HĐ, mọi thay đổi đều thành phát sinh.</t>
        </is>
      </c>
      <c r="H10" s="19" t="inlineStr">
        <is>
          <t>Các Biểu 01–06 không còn được nêu tên trong danh mục; P137 lặp ý câu dẫn P131; lỗi chính tả “khỏan”.</t>
        </is>
      </c>
      <c r="I10" s="31" t="inlineStr">
        <is>
          <t>a) Hợp đồng và các phụ lục; b) Các Biểu 01–06; c) Thông báo trúng thầu (nếu có); d) Hồ sơ thiết kế được duyệt (kể cả bản vẽ thi công phát hành trong quá trình thực hiện) và CDKT; e) Hồ sơ mời thầu/yêu cầu và văn bản làm rõ; f) Hồ sơ dự thầu/chào giá của Bên B (chỉ áp dụng phần không trái các tài liệu a–e). Khi có mâu thuẫn giữa các tài liệu hoặc trong cùng một tài liệu, áp dụng tài liệu có thứ tự ưu tiên cao hơn; riêng yêu cầu chất lượng, kỹ thuật, an toàn áp dụng yêu cầu cao hơn. Bên B phải thực hiện theo văn bản giải thích của Bên A.</t>
        </is>
      </c>
      <c r="J10" s="19" t="inlineStr">
        <is>
          <t>Giữ cấu trúc của PH nhưng đổi chỗ d) và e) (HSDT xuống cuối), thêm câu “yêu cầu cao hơn”, bỏ cụm “trong cùng một tài liệu”.</t>
        </is>
      </c>
      <c r="K10" s="19" t="inlineStr">
        <is>
          <t>Thông lệ FIDIC; bảo vệ thiết kế được duyệt</t>
        </is>
      </c>
      <c r="L10" s="27" t="inlineStr">
        <is>
          <t>Chưa xử lý</t>
        </is>
      </c>
      <c r="M10" s="19" t="inlineStr"/>
      <c r="N10" s="28" t="inlineStr">
        <is>
          <t>PA tốt nhất: HSDT xếp cuối; bản vẽ thi công thuộc HĐ; áp dụng yêu cầu cao hơn; Bên A giải thích cả mâu thuẫn giữa các tài liệu.</t>
        </is>
      </c>
      <c r="O10" s="29" t="inlineStr">
        <is>
          <t>Ban HĐ</t>
        </is>
      </c>
      <c r="P10" s="19" t="n"/>
      <c r="Q10" s="19" t="n"/>
    </row>
    <row r="11" ht="22" customHeight="1">
      <c r="A11" s="23" t="inlineStr">
        <is>
          <t>ĐIỀU 3 – QUY ĐỊNH CHUNG</t>
        </is>
      </c>
      <c r="B11" s="24" t="n"/>
      <c r="C11" s="24" t="n"/>
      <c r="D11" s="24" t="n"/>
      <c r="E11" s="24" t="n"/>
      <c r="F11" s="24" t="n"/>
      <c r="G11" s="24" t="n"/>
      <c r="H11" s="24" t="n"/>
      <c r="I11" s="24" t="n"/>
      <c r="J11" s="24" t="n"/>
      <c r="K11" s="24" t="n"/>
      <c r="L11" s="24" t="n"/>
      <c r="M11" s="24" t="n"/>
      <c r="N11" s="24" t="n"/>
      <c r="O11" s="24" t="n"/>
      <c r="P11" s="24" t="n"/>
      <c r="Q11" s="24" t="n"/>
    </row>
    <row r="12" ht="165.5" customHeight="1">
      <c r="A12" s="17" t="n">
        <v>5</v>
      </c>
      <c r="B12" s="18" t="inlineStr">
        <is>
          <t>3.2 Giao thầu lại
(P144)</t>
        </is>
      </c>
      <c r="C12" s="19" t="inlineStr">
        <is>
          <t>• Không bên nào được chuyển nhượng toàn bộ hoặc một phần quyền, nghĩa vụ theo Hợp đồng, trừ trường hợp quy định tại khoản này. Bên B không được giao thầu lại toàn bộ hoặc một phần công việc khi chưa được Bên A chấp thuận bằng văn bản; Bên B chịu trách nhiệm toàn bộ trước Bên A về khối lượng, chất lượng, tiến độ, an toàn của phần việc do nhà thầu phụ của Bên B thực hiện. Bên A có quyền chuyển giao quyền và nghĩa vụ theo Hợp đồng cho Chủ đầu tư hoặc tổ chức do Chủ đầu tư chỉ định sau khi thông báo bằng văn bản cho Bên B; Bên B không được từ chối việc chuyển giao này.</t>
        </is>
      </c>
      <c r="D12" s="19" t="inlineStr">
        <is>
          <t>• Không bên nào được chuyển nhượng toàn bộ hoặc một phần quyền, nghĩa vụ theo Hợp đồng, trừ trường hợp quy định tại khoản này. Bên B không được giao thầu lại toàn bộ công việc khi chưa được Bên A chấp thuận bằng văn bản; Bên B chịu trách nhiệm toàn bộ trước Bên A về khối lượng, chất lượng, tiến độ, an toàn của phần việc do nhà thầu phụ của Bên B thực hiện. Bên A có quyền chuyển giao quyền và nghĩa vụ theo Hợp đồng cho Chủ đầu tư hoặc tổ chức do Chủ đầu tư chỉ định sau khi thông báo bằng văn bản cho Bên B; Bên B không được từ chối việc chuyển giao này.</t>
        </is>
      </c>
      <c r="E12" s="17" t="inlineStr">
        <is>
          <t>Sửa</t>
        </is>
      </c>
      <c r="F12" s="27" t="inlineStr">
        <is>
          <t>CAO</t>
        </is>
      </c>
      <c r="G12" s="19" t="inlineStr">
        <is>
          <t>Bên B được giao lại một phần công việc (cừ, chống thấm, cốt thép…) không cần Bên A chấp thuận → mất kiểm soát năng lực thầu phụ; Tổng thầu có thể vi phạm nghĩa vụ báo cáo thầu phụ với CĐT.</t>
        </is>
      </c>
      <c r="H12" s="19" t="inlineStr">
        <is>
          <t>Đồng bộ với 17.2b (PH sửa thành “giao thầu lại toàn việc” – sai chính tả).</t>
        </is>
      </c>
      <c r="I12" s="31" t="inlineStr">
        <is>
          <t>Khôi phục nguyên văn dự thảo A: “Bên B không được giao thầu lại toàn bộ hoặc một phần công việc khi chưa được Bên A chấp thuận bằng văn bản…”, bổ sung: “Danh sách thầu phụ dự kiến phải trình Bên A trước khi huy động.”</t>
        </is>
      </c>
      <c r="J12" s="19" t="inlineStr">
        <is>
          <t>Miễn chấp thuận đối với việc mua vật tư, thuê máy, khoán nhân công thuần. Thầu phụ thi công cừ, văng chống, chống thấm, cốt thép, bê tông bắt buộc phải được chấp thuận.</t>
        </is>
      </c>
      <c r="K12" s="19" t="inlineStr">
        <is>
          <t>BB thương thảo; HĐ thầu chính</t>
        </is>
      </c>
      <c r="L12" s="27" t="inlineStr">
        <is>
          <t>Chưa xử lý</t>
        </is>
      </c>
      <c r="M12" s="19" t="inlineStr"/>
      <c r="N12" s="28" t="inlineStr">
        <is>
          <t>Khôi phục “toàn bộ hoặc một phần”, miễn chấp thuận đối với mua vật tư, thuê máy, khoán nhân công (PA lùi); đồng bộ 17.2b.</t>
        </is>
      </c>
      <c r="O12" s="29" t="inlineStr">
        <is>
          <t>Ban HĐ</t>
        </is>
      </c>
      <c r="P12" s="19" t="n"/>
      <c r="Q12" s="19" t="n"/>
    </row>
    <row r="13" ht="136.5" customHeight="1">
      <c r="A13" s="17" t="n">
        <v>6</v>
      </c>
      <c r="B13" s="18" t="inlineStr">
        <is>
          <t>3.4 b, c
(P150, P151)</t>
        </is>
      </c>
      <c r="C13" s="19" t="inlineStr">
        <is>
          <t>• b) Bên B có nghĩa vụ nộp đầy đủ thuế, phí, lệ phí và tự xin cấp các giấy phép, giấy tờ cần thiết cho thiết bị, nhân lực của Bên B trong quá trình huy động, thi công, sửa chữa sai sót và giải thể (giấy phép lưu hành, đăng kiểm, kiểm định, đăng ký theo quy định của pháp luật).
• c) Bên B phải bồi thường toàn bộ thiệt hại, chi phí, tiền phạt mà Bên A phải gánh chịu do Bên B vi phạm pháp luật.</t>
        </is>
      </c>
      <c r="D13" s="19" t="inlineStr">
        <is>
          <t>• [Xóa]: b) Bên B có nghĩa vụ nộp đầy đủ thuế, phí, lệ phí và tự xin …
► Comment PH: Hồ sơ đầu vào thiết bị đăng, đăng ký nhân công BCH thực hiện theo quy định của Ban QLDA không cần nêu trong HĐ
• [Xóa]: c) Bên B phải bồi thường toàn bộ thiệt hại, chi phí, tiền ph…</t>
        </is>
      </c>
      <c r="E13" s="17" t="inlineStr">
        <is>
          <t>Xóa</t>
        </is>
      </c>
      <c r="F13" s="25" t="inlineStr">
        <is>
          <t>THẤP</t>
        </is>
      </c>
      <c r="G13" s="19" t="inlineStr">
        <is>
          <t>Ít ảnh hưởng: nghĩa vụ giấy phép thiết bị đã có ở 12.2.1a; nghĩa vụ bồi hoàn đã có ở 12.2.1 b, c.</t>
        </is>
      </c>
      <c r="H13" s="19" t="inlineStr">
        <is>
          <t>Sau khi xóa, 3.4 chỉ còn điểm a).</t>
        </is>
      </c>
      <c r="I13" s="31" t="inlineStr">
        <is>
          <t>CHẤP NHẬN XÓA (dùng làm điểm nhượng bộ). Bỏ ký hiệu “a)” ở 3.4; bổ sung vào 12.2.1a cụm “nộp đầy đủ thuế, phí, lệ phí theo quy định”.</t>
        </is>
      </c>
      <c r="J13" s="19" t="inlineStr">
        <is>
          <t>—</t>
        </is>
      </c>
      <c r="K13" s="19" t="inlineStr">
        <is>
          <t>12.2.1 a, b, c đã bao quát</t>
        </is>
      </c>
      <c r="L13" s="32" t="inlineStr">
        <is>
          <t>Chấp nhận bản PH</t>
        </is>
      </c>
      <c r="M13" s="19" t="inlineStr">
        <is>
          <t>Giữ xóa như PH.</t>
        </is>
      </c>
      <c r="N13" s="28" t="inlineStr">
        <is>
          <t>Chấp nhận xóa.</t>
        </is>
      </c>
      <c r="O13" s="29" t="inlineStr">
        <is>
          <t>Ban HĐ</t>
        </is>
      </c>
      <c r="P13" s="19" t="n"/>
      <c r="Q13" s="19" t="n"/>
    </row>
    <row r="14" ht="180" customHeight="1">
      <c r="A14" s="17" t="n">
        <v>7</v>
      </c>
      <c r="B14" s="18" t="inlineStr">
        <is>
          <t>3.5 Khấu trừ
(P152, P153)</t>
        </is>
      </c>
      <c r="C14" s="19" t="inlineStr">
        <is>
          <t>• 3.5. Khấu trừ giá trị Hợp đồng
• Chi phí để Bên B thực hiện toàn bộ nghĩa vụ theo Hợp đồng đã được tính đủ trong giá Hợp đồng. Trường hợp Bên A phải thực hiện thay bất kỳ nghĩa vụ nào của Bên B, Bên A có quyền khấu trừ vào giá trị thanh toán của Bên B toàn bộ chi phí thực tế phát sinh trên cơ sở hồ sơ, chứng từ hợp lệ, cộng chi phí quản lý bằng 15% chi phí đó. Bên A thông báo bằng văn bản cho Bên B căn cứ xác định giá trị khấu trừ. Trường hợp cần xử lý ngay để bảo đảm tiến độ, chất lượng, an toàn hoặc nghĩa vụ đối với Chủ đầu tư, Bên A có quyền khấu trừ trước và đối chiếu với Bên B trong kỳ thanh toán gần nhất.</t>
        </is>
      </c>
      <c r="D14" s="19" t="inlineStr">
        <is>
          <t>• [Xóa]: 3.5. Khấu trừ giá trị Hợp đồng
• [Xóa]: Chi phí để Bên B thực hiện toàn bộ nghĩa vụ theo Hợp đồng đã…</t>
        </is>
      </c>
      <c r="E14" s="17" t="inlineStr">
        <is>
          <t>Xóa toàn bộ</t>
        </is>
      </c>
      <c r="F14" s="27" t="inlineStr">
        <is>
          <t>CAO</t>
        </is>
      </c>
      <c r="G14" s="19" t="inlineStr">
        <is>
          <t>Mất điều khoản gốc về quyền khấu trừ, phí quản lý 15% và quyền “khấu trừ trước, đối chiếu sau” khi khẩn cấp.</t>
        </is>
      </c>
      <c r="H14" s="19" t="inlineStr">
        <is>
          <t>Quyền khấu trừ vẫn rải rác ở 6.3b, 7.3c, 8.2(i), 10.6, 10.9, 10.10, 12.2.11, 12.2.12 → thực chất PH chỉ muốn bỏ phí 15%. Số mục nhảy từ 3.4 sang 3.6.</t>
        </is>
      </c>
      <c r="I14" s="26" t="inlineStr">
        <is>
          <t>Khôi phục 3.5 làm điều gốc. Phí quản lý [10]%. Giữ quyền khấu trừ trước, đối chiếu sau trong trường hợp khẩn cấp.</t>
        </is>
      </c>
      <c r="J14" s="33" t="inlineStr">
        <is>
          <t>Phí quản lý [5]%; Bên A thông báo trước [03] ngày làm việc, trừ trường hợp khẩn cấp.</t>
        </is>
      </c>
      <c r="K14" s="19" t="inlineStr">
        <is>
          <t>—</t>
        </is>
      </c>
      <c r="L14" s="27" t="inlineStr">
        <is>
          <t>Chưa xử lý</t>
        </is>
      </c>
      <c r="M14" s="19" t="inlineStr"/>
      <c r="N14" s="28" t="inlineStr">
        <is>
          <t>Khôi phục 3.5; phí quản lý [10]%.</t>
        </is>
      </c>
      <c r="O14" s="34" t="inlineStr">
        <is>
          <t>Lãnh đạo chốt</t>
        </is>
      </c>
      <c r="P14" s="19" t="n"/>
      <c r="Q14" s="19" t="n"/>
    </row>
    <row r="15" ht="22" customHeight="1">
      <c r="A15" s="23" t="inlineStr">
        <is>
          <t>ĐIỀU 4 – NỘI DUNG CÔNG VIỆC</t>
        </is>
      </c>
      <c r="B15" s="24" t="n"/>
      <c r="C15" s="24" t="n"/>
      <c r="D15" s="24" t="n"/>
      <c r="E15" s="24" t="n"/>
      <c r="F15" s="24" t="n"/>
      <c r="G15" s="24" t="n"/>
      <c r="H15" s="24" t="n"/>
      <c r="I15" s="24" t="n"/>
      <c r="J15" s="24" t="n"/>
      <c r="K15" s="24" t="n"/>
      <c r="L15" s="24" t="n"/>
      <c r="M15" s="24" t="n"/>
      <c r="N15" s="24" t="n"/>
      <c r="O15" s="24" t="n"/>
      <c r="P15" s="24" t="n"/>
      <c r="Q15" s="24" t="n"/>
    </row>
    <row r="16" ht="151" customHeight="1">
      <c r="A16" s="17" t="n">
        <v>8</v>
      </c>
      <c r="B16" s="18" t="inlineStr">
        <is>
          <t>4.1.1 Phạm vi, quyền giảm phạm vi
(P162)</t>
        </is>
      </c>
      <c r="C16" s="19" t="inlineStr">
        <is>
          <t>• 4.1.1. Phạm vi Hợp đồng chỉ bao gồm Phần ngầm theo định nghĩa tại Điều 1. Công tác đất, công tác chống mối và công tác hoàn thiện ướt (xây, trát, ốp, lát, sơn, bả) không thuộc phạm vi Hợp đồng và do Nhà thầu khác thực hiện. Bên A có quyền điều chỉnh tăng, giảm khối lượng, phạm vi công việc hoặc giao một phần công việc cho Nhà thầu khác theo yêu cầu của Chủ đầu tư hoặc khi Bên B không đáp ứng yêu cầu của Hợp đồng; Bên B không được yêu cầu điều chỉnh đơn giá, bồi thường hoặc lợi nhuận đối với phần công việc bị điều chỉnh giảm.</t>
        </is>
      </c>
      <c r="D16" s="19" t="inlineStr">
        <is>
          <t>• [Xóa toàn bộ nội dung, chỉ để lại số mục “4.1.1..”]
► Comment PH: Đã tham chiếu ý trên ở Biểu 1 (Chi tiết giá HĐ)</t>
        </is>
      </c>
      <c r="E16" s="17" t="inlineStr">
        <is>
          <t>Xóa (để lại “4.1.1..”)</t>
        </is>
      </c>
      <c r="F16" s="27" t="inlineStr">
        <is>
          <t>CAO</t>
        </is>
      </c>
      <c r="G16" s="19" t="inlineStr">
        <is>
          <t>Mất quyền giảm phạm vi, giao bớt việc cho nhà thầu khác mà Bên B không được đòi bồi thường, lợi nhuận. Biểu 01 chỉ là bảng giá, không chứa nội dung này (comment của PH không đúng).</t>
        </is>
      </c>
      <c r="H16" s="19" t="inlineStr">
        <is>
          <t>Mâu thuẫn 3 chiều: 11.1 vẫn giữ quyền “điều chỉnh phạm vi… không bồi thường”; 9.4 mới lại yêu cầu “cắt giảm ảnh hưởng lớn phải được hai bên thống nhất”. Số mục bỏ trống.</t>
        </is>
      </c>
      <c r="I16" s="31" t="inlineStr">
        <is>
          <t>Khôi phục nguyên văn 4.1.1 của dự thảo A.</t>
        </is>
      </c>
      <c r="J16" s="33" t="inlineStr">
        <is>
          <t>Thêm câu: “Trường hợp giảm trên [20]% giá trị HĐ không do lỗi của Bên B, Bên A thanh toán chi phí huy động, giải thể hợp lý chưa thu hồi, có chứng từ; không bồi thường lợi nhuận dự kiến.”</t>
        </is>
      </c>
      <c r="K16" s="19" t="inlineStr">
        <is>
          <t>11.1 của chính bản PH</t>
        </is>
      </c>
      <c r="L16" s="27" t="inlineStr">
        <is>
          <t>Chưa xử lý</t>
        </is>
      </c>
      <c r="M16" s="19" t="inlineStr"/>
      <c r="N16" s="28" t="inlineStr">
        <is>
          <t>Khôi phục quyền giảm phạm vi + ngưỡng [20]% (PA lùi).</t>
        </is>
      </c>
      <c r="O16" s="34" t="inlineStr">
        <is>
          <t>Lãnh đạo chốt</t>
        </is>
      </c>
      <c r="P16" s="19" t="n"/>
      <c r="Q16" s="19" t="n"/>
    </row>
    <row r="17" ht="93" customHeight="1">
      <c r="A17" s="17" t="n">
        <v>9</v>
      </c>
      <c r="B17" s="18" t="inlineStr">
        <is>
          <t>4.2 (đoạn cuối 4.1.2) Chậm trễ của Nhà thầu khác
(P169)</t>
        </is>
      </c>
      <c r="C17" s="19" t="inlineStr">
        <is>
          <t>• Chậm trễ của Nhà thầu khác chỉ là căn cứ để Bên A xem xét gia hạn thời gian tương ứng khi Bên B chứng minh được ảnh hưởng trực tiếp đến đường găng tiến độ. Bên B không được yêu cầu bồi thường, chi phí dừng chờ hoặc điều chỉnh đơn giá, trừ phần Bên A được Chủ đầu tư hoặc Nhà thầu khác bồi hoàn tương ứng.</t>
        </is>
      </c>
      <c r="D17" s="19" t="inlineStr">
        <is>
          <t>• Chậm trễ của Nhà thầu khác là căn cứ để Bên A gia hạn thời gian tương ứng căn cứ theo tiến độ của Bên B được Bên A phê duyệt. Bên A phải thanh toán toàn bộ chi phí phát sinh do dừng chờ do ảnh hưởng việc chậm trễ từ các nhà thầu khác của Bên A.</t>
        </is>
      </c>
      <c r="E17" s="17" t="inlineStr">
        <is>
          <t>Sửa</t>
        </is>
      </c>
      <c r="F17" s="27" t="inlineStr">
        <is>
          <t>CAO</t>
        </is>
      </c>
      <c r="G17" s="19" t="inlineStr">
        <is>
          <t>Bên A phải gia hạn VÀ trả toàn bộ chi phí dừng chờ do mọi nhà thầu khác gây ra, kể cả nhà thầu do CĐT thuê → Bên A gánh rủi ro không thu hồi được.</t>
        </is>
      </c>
      <c r="H17" s="19" t="inlineStr">
        <is>
          <t>Mâu thuẫn trực tiếp với 11.2 (PH vẫn giữ: “Bên A không chịu chi phí dừng chờ do… Nhà thầu khác”), 9.4(v) và 17.1(ii) – 4 chỗ cùng điều chỉnh một sự kiện với 4 kết quả khác nhau. Mất số mục “4.2”.</t>
        </is>
      </c>
      <c r="I17" s="31" t="inlineStr">
        <is>
          <t>Khôi phục nguyên văn A: chỉ là căn cứ xem xét gia hạn khi Bên B chứng minh ảnh hưởng đường găng; không bồi thường, dừng chờ, trừ phần Bên A được CĐT hoặc Nhà thầu khác bồi hoàn.</t>
        </is>
      </c>
      <c r="J17" s="19" t="inlineStr">
        <is>
          <t>Bên A thanh toán dừng chờ do Nhà thầu khác do chính Bên A thuê gây ra, theo đúng điều kiện tại 11.2 (quá 14 ngày, biên bản trong 24 giờ, không gồm lợi nhuận, chi phí gián tiếp).</t>
        </is>
      </c>
      <c r="K17" s="19" t="inlineStr">
        <is>
          <t>BB thương thảo</t>
        </is>
      </c>
      <c r="L17" s="30" t="inlineStr">
        <is>
          <t>Xử lý một phần</t>
        </is>
      </c>
      <c r="M17" s="19" t="inlineStr">
        <is>
          <t>Xóa luôn cả đoạn (bản A và bản PH).</t>
        </is>
      </c>
      <c r="N17" s="28" t="inlineStr">
        <is>
          <t>Khôi phục câu bảo vệ của dự thảo A (chỉ xem xét gia hạn, không dừng chờ), vì 11.2 dừng chờ cũng đã bị xóa nên không còn điều khoản nào chặn yêu cầu dừng chờ.</t>
        </is>
      </c>
      <c r="O17" s="29" t="inlineStr">
        <is>
          <t>Ban HĐ</t>
        </is>
      </c>
      <c r="P17" s="19" t="n"/>
      <c r="Q17" s="19" t="n"/>
    </row>
    <row r="18" ht="194.5" customHeight="1">
      <c r="A18" s="17" t="n">
        <v>10</v>
      </c>
      <c r="B18" s="18" t="inlineStr">
        <is>
          <t>4.4 Back-to-back
(P171)</t>
        </is>
      </c>
      <c r="C18" s="19" t="inlineStr">
        <is>
          <t>• 4.4. Trong phạm vi công việc của Hợp đồng, Bên B có nghĩa vụ tuân thủ các yêu cầu của Hợp đồng thầu chính theo nguyên tắc back to back, Hồ sơ thiết kế, Chỉ dẫn kỹ thuật và chỉ dẫn hợp pháp của Chủ đầu tư, Tư vấn giám sát, Bên A. Các nghĩa vụ của Bên A đối với Chủ đầu tư theo Hợp đồng thầu chính liên quan đến phạm vi công việc của Bên B được áp dụng tương ứng đối với Bên B, trừ các nội dung về giá, tạm ứng, thanh toán đã được quy định riêng tại Hợp đồng này. Trường hợp do lỗi của Bên B mà Chủ đầu tư từ chối nghiệm thu, giảm trừ thanh toán, yêu cầu sửa chữa, bồi thường hoặc áp dụng chế tài đối với Bên A, Bên B phải khắc phục và hoàn trả cho Bên A toàn bộ chi phí, thiệt hại, tiền phạt phát sinh tương ứng.</t>
        </is>
      </c>
      <c r="D18" s="19" t="inlineStr">
        <is>
          <t>• 4.4. Trong phạm vi công việc của Hợp đồng, Bên B có nghĩa vụ tuân thủ các yêu cầu của Hồ sơ thiết kế, Chỉ dẫn kỹ thuật và chỉ dẫn hợp pháp của Chủ đầu tư, Tư vấn giám sát, Bên A.. Trường hợp do lỗi của Bên B mà Chủ đầu tư từ chối nghiệm thu, giảm trừ thanh toán, yêu cầu sửa chữa, bồi thường hoặc áp dụng chế tài đối với Bên A, Bên B phải khắc phục và hoàn trả cho Bên A toàn bộ chi phí, thiệt hại, tiền phạt phát sinh tương ứng.</t>
        </is>
      </c>
      <c r="E18" s="17" t="inlineStr">
        <is>
          <t>Sửa (xóa câu cốt lõi)</t>
        </is>
      </c>
      <c r="F18" s="27" t="inlineStr">
        <is>
          <t>CAO</t>
        </is>
      </c>
      <c r="G18" s="21" t="inlineStr">
        <is>
          <t>LẰN RANH ĐỎ. Mất căn cứ chuyển các nghĩa vụ của Tổng thầu với CĐT (liên quan phạm vi của B) xuống Bên B → khoảng hở rủi ro giữa 2 hợp đồng.</t>
        </is>
      </c>
      <c r="H18" s="19" t="inlineStr">
        <is>
          <t>Dấu chấm kép “Bên A..”. PH vẫn giữ câu bồi hoàn khi CĐT chế tài → tự nhận một phần back-to-back nhưng bỏ phần nguyên tắc.</t>
        </is>
      </c>
      <c r="I18" s="31" t="inlineStr">
        <is>
          <t>Khôi phục nguyên văn 4.4 của dự thảo A.</t>
        </is>
      </c>
      <c r="J18" s="19" t="inlineStr">
        <is>
          <t>Giữ nguyên văn, bổ sung: “Bên A cung cấp cho Bên B trích lục các điều khoản của HĐ thầu chính liên quan đến phạm vi công việc của Bên B.” (giải tỏa lo ngại của PH về việc không biết nội dung HĐ thầu chính).</t>
        </is>
      </c>
      <c r="K18" s="19" t="inlineStr">
        <is>
          <t>BB thương thảo: back-to-back</t>
        </is>
      </c>
      <c r="L18" s="27" t="inlineStr">
        <is>
          <t>Chưa xử lý</t>
        </is>
      </c>
      <c r="M18" s="19" t="inlineStr"/>
      <c r="N18" s="28" t="inlineStr">
        <is>
          <t>Khôi phục back-to-back + Bên A cung cấp trích lục HĐ thầu chính (PA lùi).</t>
        </is>
      </c>
      <c r="O18" s="29" t="inlineStr">
        <is>
          <t>Ban HĐ</t>
        </is>
      </c>
      <c r="P18" s="19" t="n"/>
      <c r="Q18" s="19" t="n"/>
    </row>
    <row r="19" ht="22" customHeight="1">
      <c r="A19" s="23" t="inlineStr">
        <is>
          <t>ĐIỀU 5, 6 – CHẤT LƯỢNG, NGHIỆM THU, HỒ SƠ</t>
        </is>
      </c>
      <c r="B19" s="24" t="n"/>
      <c r="C19" s="24" t="n"/>
      <c r="D19" s="24" t="n"/>
      <c r="E19" s="24" t="n"/>
      <c r="F19" s="24" t="n"/>
      <c r="G19" s="24" t="n"/>
      <c r="H19" s="24" t="n"/>
      <c r="I19" s="24" t="n"/>
      <c r="J19" s="24" t="n"/>
      <c r="K19" s="24" t="n"/>
      <c r="L19" s="24" t="n"/>
      <c r="M19" s="24" t="n"/>
      <c r="N19" s="24" t="n"/>
      <c r="O19" s="24" t="n"/>
      <c r="P19" s="24" t="n"/>
      <c r="Q19" s="24" t="n"/>
    </row>
    <row r="20" ht="93" customHeight="1">
      <c r="A20" s="17" t="n">
        <v>11</v>
      </c>
      <c r="B20" s="18" t="inlineStr">
        <is>
          <t>5.10 Thử kín nước
(P183)</t>
        </is>
      </c>
      <c r="C20" s="19" t="inlineStr">
        <is>
          <t>• 5.10. Bên B chịu trách nhiệm về chất lượng công tác chống thấm phần ngầm. Trước khi nghiệm thu, Bên B phải thực hiện thí nghiệm, thử kín nước (ngâm nước, thử áp) theo Chỉ dẫn kỹ thuật và yêu cầu của Bên A; mọi vị trí thấm, rò rỉ phát hiện trong thời gian thi công và bảo hành phải được Bên B xử lý bằng chi phí của mình.</t>
        </is>
      </c>
      <c r="D20" s="19" t="inlineStr">
        <is>
          <t>• 5.10. Bên B chịu trách nhiệm về chất lượng công tác chống thấm phần ngầm. Trước khi nghiệm thu, Bên B phải thực hiện thí nghiệm, (ngâm nước) theo Chỉ dẫn kỹ thuật và yêu cầu của Bên A; mọi vị trí thấm, rò rỉ phát hiện trong thời gian thi công và bảo hành phải được Bên B xử lý bằng chi phí của mình.</t>
        </is>
      </c>
      <c r="E20" s="17" t="inlineStr">
        <is>
          <t>Sửa</t>
        </is>
      </c>
      <c r="F20" s="30" t="inlineStr">
        <is>
          <t>TRUNG BÌNH</t>
        </is>
      </c>
      <c r="G20" s="19" t="inlineStr">
        <is>
          <t>Bỏ thử áp → không kiểm chứng được độ kín của các vị trí xuyên tường, bể chứa.</t>
        </is>
      </c>
      <c r="H20" s="19" t="inlineStr">
        <is>
          <t>Câu cụt: “thí nghiệm, (ngâm nước)”.</t>
        </is>
      </c>
      <c r="I20" s="31" t="inlineStr">
        <is>
          <t>“…phải thực hiện thí nghiệm thử kín nước (ngâm nước; thử áp đối với bể chứa, ống xuyên tường nếu CDKT yêu cầu)…”</t>
        </is>
      </c>
      <c r="J20" s="19" t="inlineStr">
        <is>
          <t>Chấp nhận ngâm nước + “và các thí nghiệm khác theo CDKT”.</t>
        </is>
      </c>
      <c r="K20" s="19" t="inlineStr">
        <is>
          <t>CDKT</t>
        </is>
      </c>
      <c r="L20" s="27" t="inlineStr">
        <is>
          <t>Chưa xử lý</t>
        </is>
      </c>
      <c r="M20" s="19" t="inlineStr"/>
      <c r="N20" s="28" t="inlineStr">
        <is>
          <t>PA tốt nhất (thử áp khi CDKT yêu cầu).</t>
        </is>
      </c>
      <c r="O20" s="29" t="inlineStr">
        <is>
          <t>Ban HĐ</t>
        </is>
      </c>
      <c r="P20" s="19" t="n"/>
      <c r="Q20" s="19" t="n"/>
    </row>
    <row r="21" ht="281.5" customHeight="1">
      <c r="A21" s="17" t="n">
        <v>12</v>
      </c>
      <c r="B21" s="18" t="inlineStr">
        <is>
          <t>Số bộ hồ sơ (6.2d, 10.3.2a, 10.3.2c, 19.1)
(P190, P324, P363, P595)</t>
        </is>
      </c>
      <c r="C21" s="19" t="inlineStr">
        <is>
          <t>• d) Việc kiểm tra, nghiệm thu của Bên A không miễn trừ, không làm giảm trách nhiệm của Bên B theo Hợp đồng và pháp luật. Số lượng hồ sơ nghiệm thu hoàn thành: 08 bộ.
• - Hóa đơn GTGT hợp lệ. Số lượng hồ sơ thanh toán: 08 bộ.
• - Các tài liệu khác có liên quan theo quy định của pháp luật và yêu cầu của Chủ đầu tư. Số lượng hồ sơ quyết toán: 08 bộ gốc.
• (ii) Thành phần hồ sơ quyết toán Hợp đồng, bao gồm nhưng không giới hạn: (1) Bảng xác định giá trị quyết toán Hợp đồng (bao gồm giá trị khối lượng phát sinh ngoài phạm vi Hợp đồng, nếu có); (2) Biên bản nghiệm thu hoàn thành, bàn giao toàn bộ công việc; (3) Biên bản xác nhận khối lượng hoàn thành; (4) Hồ sơ chất lượng, hồ sơ hoàn công, nhật ký thi công; (5) Bảng tổng hợp các khoản phạt, khấu trừ; (6) Hóa đơn GTGT; (7) Giấy đề nghị quyết toán; (8) Các tài liệu khác theo yêu cầu của Bên A và Chủ đầu tư. Số lượng: 08 bộ gốc.</t>
        </is>
      </c>
      <c r="D21" s="19" t="inlineStr">
        <is>
          <t>• d) Việc kiểm tra, nghiệm thu của Bên A không miễn trừ, không làm giảm trách nhiệm của Bên B theo Hợp đồng và pháp luật. Số lượng hồ sơ nghiệm thu hoàn thành: 06 bộ.
• - Hóa đơn GTGT hợp lệ. Số lượng hồ sơ thanh toán: 06 bộ.
• - Các tài liệu khác có liên quan theo quy định của pháp luật và yêu cầu của Chủ đầu tư. Số lượng hồ sơ quyết toán: 06 bộ gốc.
• (ii) Thành phần hồ sơ quyết toán Hợp đồng, bao gồm nhưng không giới hạn: (1) Bảng xác định giá trị quyết toán Hợp đồng (bao gồm giá trị khối lượng phát sinh ngoài phạm vi Hợp đồng, nếu có); (2) Biên bản nghiệm thu hoàn thành, bàn giao toàn bộ công việc; (3) Biên bản xác nhận khối lượng hoàn thành; (4) Hồ sơ chất lượng, hồ sơ hoàn công, nhật ký thi công; (5) Bảng tổng hợp các khoản phạt, khấu trừ; (6) Hóa đơn GTGT; (7) Giấy đề nghị quyết toán; (8) Các tài liệu khác theo yêu cầu của Bên A và Chủ đầu tư. Số lượng: 06 bộ gốc.</t>
        </is>
      </c>
      <c r="E21" s="17" t="inlineStr">
        <is>
          <t>Sửa 08→06</t>
        </is>
      </c>
      <c r="F21" s="30" t="inlineStr">
        <is>
          <t>TRUNG BÌNH</t>
        </is>
      </c>
      <c r="G21" s="19" t="inlineStr">
        <is>
          <t>HĐ thầu chính yêu cầu 08 bộ → thiếu 02 bộ, Bên A phải tự sao, chứng thực.</t>
        </is>
      </c>
      <c r="H21" s="19" t="inlineStr">
        <is>
          <t>PH sửa đồng bộ 4 chỗ – không có lỗi kỹ thuật.</t>
        </is>
      </c>
      <c r="I21" s="31" t="inlineStr">
        <is>
          <t>Giữ 08 bộ.</t>
        </is>
      </c>
      <c r="J21" s="19" t="inlineStr">
        <is>
          <t>06 bộ gốc + bản scan; Bên B cung cấp bổ sung khi CĐT yêu cầu, không tính phí.</t>
        </is>
      </c>
      <c r="K21" s="19" t="inlineStr">
        <is>
          <t>HĐ thầu chính</t>
        </is>
      </c>
      <c r="L21" s="27" t="inlineStr">
        <is>
          <t>Chưa xử lý</t>
        </is>
      </c>
      <c r="M21" s="19" t="inlineStr"/>
      <c r="N21" s="28" t="inlineStr">
        <is>
          <t>PA lùi: 06 bộ gốc + bản scan + cung cấp bổ sung khi CĐT yêu cầu (4 chỗ).</t>
        </is>
      </c>
      <c r="O21" s="29" t="inlineStr">
        <is>
          <t>Ban HĐ</t>
        </is>
      </c>
      <c r="P21" s="19" t="n"/>
      <c r="Q21" s="19" t="n"/>
    </row>
    <row r="22" ht="93" customHeight="1">
      <c r="A22" s="17" t="n">
        <v>13</v>
      </c>
      <c r="B22" s="18" t="inlineStr">
        <is>
          <t>6.2 (ii), (iii) Điều kiện nghiệm thu bàn giao
(P194, P195)</t>
        </is>
      </c>
      <c r="C22" s="19" t="inlineStr">
        <is>
          <t>• (ii) Được Bên A chấp thuận nghiệm thu bàn giao Hạng mục công trìnhtheo PV hd này.
• (iii) Bên B đã hoàn thành tháo dỡ hệ văng chống, nhổ cừ (theo thiết kế biện pháp), thu dọn mặt bằng và bàn giao đầy đủ hồ sơ hoàn công.</t>
        </is>
      </c>
      <c r="D22" s="19" t="inlineStr">
        <is>
          <t>• (ii) Được Bên A nghiệm thu bàn giao Hạng mục công trình theo phạm vi công việc của hợp đồng này.
• (iii) Bên B đã hoàn thành tháo dỡ hệ văng chống, nhổ cừ (theo thiết kế biện pháp), thu dọn mặt bằng và bàn giao đầy đủ hồ sơ hoàn công, chất lượng trong vòng 30 ngày sau khi ký biên bản bàn giao.</t>
        </is>
      </c>
      <c r="E22" s="17" t="inlineStr">
        <is>
          <t>Sửa</t>
        </is>
      </c>
      <c r="F22" s="30" t="inlineStr">
        <is>
          <t>TRUNG BÌNH</t>
        </is>
      </c>
      <c r="G22" s="19" t="inlineStr">
        <is>
          <t>Hồ sơ hoàn công được nộp chậm 30 ngày sau bàn giao → Bên A phải trình CĐT trước khi có hồ sơ.</t>
        </is>
      </c>
      <c r="H22" s="19" t="inlineStr">
        <is>
          <t>Vòng lặp logic: điều kiện để “được nghiệm thu bàn giao” lại là nộp hồ sơ “trong vòng 30 ngày sau khi ký biên bản bàn giao”. Từ “chất lượng” chen vào không rõ nghĩa.</t>
        </is>
      </c>
      <c r="I22" s="26" t="inlineStr">
        <is>
          <t>“(iii) …thu dọn mặt bằng. Hồ sơ hoàn công, hồ sơ chất lượng phải nộp đầy đủ trong vòng [30] ngày kể từ ngày ký biên bản nghiệm thu bàn giao; đây là điều kiện để quyết toán và hoàn trả bảo lãnh thực hiện HĐ.”</t>
        </is>
      </c>
      <c r="J22" s="19" t="inlineStr">
        <is>
          <t>—</t>
        </is>
      </c>
      <c r="K22" s="19" t="inlineStr">
        <is>
          <t>—</t>
        </is>
      </c>
      <c r="L22" s="27" t="inlineStr">
        <is>
          <t>Chưa xử lý</t>
        </is>
      </c>
      <c r="M22" s="19" t="inlineStr"/>
      <c r="N22" s="28" t="inlineStr">
        <is>
          <t>PA tốt nhất (hồ sơ hoàn công 30 ngày là điều kiện quyết toán).</t>
        </is>
      </c>
      <c r="O22" s="29" t="inlineStr">
        <is>
          <t>Ban HĐ</t>
        </is>
      </c>
      <c r="P22" s="19" t="n"/>
      <c r="Q22" s="19" t="n"/>
    </row>
    <row r="23" ht="122" customHeight="1">
      <c r="A23" s="17" t="n">
        <v>14</v>
      </c>
      <c r="B23" s="18" t="inlineStr">
        <is>
          <t>6.4 Vật tư luân chuyển
(P200)</t>
        </is>
      </c>
      <c r="C23" s="19" t="inlineStr">
        <is>
          <t>• Vật liệu, kết cấu, bộ phận, hạng mục công trình thuộc phạm vi Hợp đồng thuộc quyền sở hữu của Bên A kể từ thời điểm được đưa vào, lắp đặt tại Công trường hoặc khi Bên B được thanh toán giá trị tương ứng, tùy thời điểm nào đến trước; trừ vật tư biện pháp luân chuyển của Bên B (cừ, văng chống) sau khi tháo dỡ. Việc chuyển quyền sở hữu không làm giảm trách nhiệm của Bên B đối với các tài sản này theo Hợp đồng.</t>
        </is>
      </c>
      <c r="D23" s="19" t="inlineStr">
        <is>
          <t>• Vật liệu, kết cấu, bộ phận, hạng mục công trình thuộc phạm vi Hợp đồng thuộc quyền sở hữu của Bên A kể từ thời điểm được đưa vào lắp đặt tại Công trường hoặc khi Bên B được thanh toán giá trị tương ứng, tùy thời điểm nào đến trước; trừ vật tư biện pháp luân chuyển của Bên B (cừ, văng chống, hệ ván khuôn dàn giáo) sau khi tháo dỡ. Việc chuyển quyền sở hữu không làm giảm trách nhiệm của Bên B đối với các tài sản này theo Hợp đồng.</t>
        </is>
      </c>
      <c r="E23" s="17" t="inlineStr">
        <is>
          <t>Sửa</t>
        </is>
      </c>
      <c r="F23" s="25" t="inlineStr">
        <is>
          <t>THẤP</t>
        </is>
      </c>
      <c r="G23" s="19" t="inlineStr">
        <is>
          <t>Hợp lý.</t>
        </is>
      </c>
      <c r="H23" s="19" t="inlineStr">
        <is>
          <t>—</t>
        </is>
      </c>
      <c r="I23" s="31" t="inlineStr">
        <is>
          <t>CHẤP NHẬN (thêm ván khuôn, giàn giáo).</t>
        </is>
      </c>
      <c r="J23" s="19" t="inlineStr">
        <is>
          <t>—</t>
        </is>
      </c>
      <c r="K23" s="19" t="inlineStr">
        <is>
          <t>—</t>
        </is>
      </c>
      <c r="L23" s="32" t="inlineStr">
        <is>
          <t>Chấp nhận bản PH</t>
        </is>
      </c>
      <c r="M23" s="19" t="inlineStr"/>
      <c r="N23" s="28" t="inlineStr">
        <is>
          <t>Chấp nhận.</t>
        </is>
      </c>
      <c r="O23" s="29" t="inlineStr">
        <is>
          <t>Ban HĐ</t>
        </is>
      </c>
      <c r="P23" s="19" t="n"/>
      <c r="Q23" s="19" t="n"/>
    </row>
    <row r="24" ht="22" customHeight="1">
      <c r="A24" s="23" t="inlineStr">
        <is>
          <t>ĐIỀU 7 – TIẾN ĐỘ</t>
        </is>
      </c>
      <c r="B24" s="24" t="n"/>
      <c r="C24" s="24" t="n"/>
      <c r="D24" s="24" t="n"/>
      <c r="E24" s="24" t="n"/>
      <c r="F24" s="24" t="n"/>
      <c r="G24" s="24" t="n"/>
      <c r="H24" s="24" t="n"/>
      <c r="I24" s="24" t="n"/>
      <c r="J24" s="24" t="n"/>
      <c r="K24" s="24" t="n"/>
      <c r="L24" s="24" t="n"/>
      <c r="M24" s="24" t="n"/>
      <c r="N24" s="24" t="n"/>
      <c r="O24" s="24" t="n"/>
      <c r="P24" s="24" t="n"/>
      <c r="Q24" s="24" t="n"/>
    </row>
    <row r="25" ht="165.5" customHeight="1">
      <c r="A25" s="17" t="n">
        <v>15</v>
      </c>
      <c r="B25" s="18" t="inlineStr">
        <is>
          <t>7.1 Tiến độ, mốc
(P204, P205, P206, P207, P208)</t>
        </is>
      </c>
      <c r="C25" s="19" t="inlineStr">
        <is>
          <t>• - Khởi công thi công hệ cừ, văng chống: ngày ……/……/2026
• - Hoàn thành kết cấu phần ngầm đến cao độ ±0.00: ngày ……/……/……
• - Hoàn thành công tác chống thấm phần ngầm, tháo dỡ hệ văng chống, nhổ cừ và bàn giao Hạng mục công trình: ngày ……/……/……
• - Tổng thời gian thực hiện Hợp đồng: …… ngày (liên tục, bao gồm cả thứ Bảy, Chủ nhật, ngày nghỉ lễ, Tết30) kể từ ngày
• ký Hợp đồng.</t>
        </is>
      </c>
      <c r="D25" s="19" t="inlineStr">
        <is>
          <t>• [Xóa]: - Khởi công thi công hệ cừ, văng chống: ngày ……/……/2026
• [Xóa]: - Hoàn thành kết cấu phần ngầm đến cao độ ±0.00: ngày ……/……/…
• [Xóa]: - Hoàn thành công tác chống thấm phần ngầm, tháo dỡ hệ văng …
• - Tổng thời gian thực hiện Hợp đồng: 10,5 tháng (liên tục, bao gồm cả thứ Bảy, Chủ nhật, ngày nghỉ lễ; riêng ngày nghỉ Tết nguyên đán được công thêm 20 ngày) kể từ ngày bắt đầu.
• [Xóa]: ký Hợp đồng.</t>
        </is>
      </c>
      <c r="E25" s="17" t="inlineStr">
        <is>
          <t>Xóa mốc, sửa thời gian</t>
        </is>
      </c>
      <c r="F25" s="27" t="inlineStr">
        <is>
          <t>CAO</t>
        </is>
      </c>
      <c r="G25" s="21" t="inlineStr">
        <is>
          <t>LẰN RANH ĐỎ. 10,5 tháng (~320 ngày) + 20 ngày Tết, tính từ “ngày bắt đầu” (đã bị treo điều kiện) → dài hơn 268 ngày đã thống nhất ít nhất ~70 ngày, trong khi Bên A chịu tiến độ của CĐT.</t>
        </is>
      </c>
      <c r="H25" s="19" t="inlineStr">
        <is>
          <t>7.1a vẫn ghi “gồm các mốc bắt buộc sau, làm căn cứ… phạt” nhưng danh sách mốc đã trống; 7.2f, 7.3a, 18.3 (phạt “theo từng mốc tại Điều 7.1”) và 17.2b(iii) mất căn cứ. “Liên tục, bao gồm ngày lễ” lại cộng riêng 20 ngày Tết (tính trùng). “Tháng” không quy đổi ra ngày. Chính tả “công thêm”.</t>
        </is>
      </c>
      <c r="I25" s="26" t="inlineStr">
        <is>
          <t>“Tổng thời gian thực hiện HĐ: 268 ngày (liên tục, đã bao gồm thứ Bảy, Chủ nhật, ngày lễ, Tết và thời tiết bất lợi thông thường) kể từ ngày ký HĐ.” Khôi phục các mốc: khởi công cừ [ngày]; hoàn thành kết cấu đến ±0.00 [ngày]; hoàn thành chống thấm, nhổ cừ, bàn giao [ngày] – khớp mốc HĐ thầu chính.</t>
        </is>
      </c>
      <c r="J25" s="33" t="inlineStr">
        <is>
          <t>268 ngày + [15] ngày nghỉ Tết, chỉ khi CĐT cũng chấp thuận cho Tổng thầu; vẫn giữ các mốc.</t>
        </is>
      </c>
      <c r="K25" s="19" t="inlineStr">
        <is>
          <t>BB thương thảo: 268 ngày từ ngày ký</t>
        </is>
      </c>
      <c r="L25" s="27" t="inlineStr">
        <is>
          <t>Chưa xử lý</t>
        </is>
      </c>
      <c r="M25" s="19" t="inlineStr"/>
      <c r="N25" s="28" t="inlineStr">
        <is>
          <t>268 ngày kể từ ngày ký, gồm Tết; khôi phục 3 mốc (ngày bôi vàng).</t>
        </is>
      </c>
      <c r="O25" s="34" t="inlineStr">
        <is>
          <t>Lãnh đạo chốt</t>
        </is>
      </c>
      <c r="P25" s="19" t="n"/>
      <c r="Q25" s="19" t="n"/>
    </row>
    <row r="26" ht="223.5" customHeight="1">
      <c r="A26" s="17" t="n">
        <v>16</v>
      </c>
      <c r="B26" s="18" t="inlineStr">
        <is>
          <t>7.2 Ngày bắt đầu
(P209, P210, P211, P212, P213, P214, P215, P216)</t>
        </is>
      </c>
      <c r="C26" s="19" t="inlineStr">
        <is>
          <t>• 7.2. Ngày bắt đầu và hoàn thành
• Ngày bắt đầu: kể từ ngày ký Hợp đồng. Các mốc tiến độ cụ thể tại Điều 7.1 do hai bên thống nhất và là bộ phận không tách rời của Hợp đồng. Trong vòng 05 ngày kể từ ngày ký Hợp đồng, Bên B phải trình Bên A tiến độ thi công chi tiết; tiến độ phải phù hợp với tiến độ thi công công tác đất của Nhà thầu khác và phải được Bên A chấp thuận. Việc chậm tạm ứng, chậm bàn giao từng phần mặt bằng không do lỗi của Bên A không làm thay đổi ngày bắt đầu.</t>
        </is>
      </c>
      <c r="D26" s="19" t="inlineStr">
        <is>
          <t>• 7.2. Ngày bắt đầu và hoàn thành
• Ngày bắt đầu được quy định như sau và được tính theo thời gian tùy theo điều kiện nào đến sau, cụ thể:
• Hợp đồng được ký kết;
• Hồ sơ thiết kế
• Các bên ký biên bản bàn giao toàn bộ mặt bằng đủ điều kiện thi công
• Bên A cung cấp nguồn điện phục vụ thi công đủ công suất theo công suất dự kiến thiết bị tiêu thụ trong Biện pháp thi công được duyệt
• Bên B nhận được toàn bộ tiền tạm ứng của Bên A.
• Trong vòng 07 ngày làm việc kể từ ngày ký Hợp đồng, Bên B phải trình Bên A tiến độ thi công chi tiết; tiến độ phải phù hợp với tiến độ thi công công tác đất của Nhà thầu khác và phải được Bên A chấp thuận..</t>
        </is>
      </c>
      <c r="E26" s="17" t="inlineStr">
        <is>
          <t>Thay thế</t>
        </is>
      </c>
      <c r="F26" s="27" t="inlineStr">
        <is>
          <t>CAO</t>
        </is>
      </c>
      <c r="G26" s="21" t="inlineStr">
        <is>
          <t>LẰN RANH ĐỎ. Ngày bắt đầu = ngày muộn nhất của 5 điều kiện → Bên B tự quyết (chậm nộp bảo lãnh → chậm nhận tạm ứng → ngày bắt đầu lùi), không thể phạt tiến độ.</t>
        </is>
      </c>
      <c r="H26" s="19" t="inlineStr">
        <is>
          <t>Điều kiện “bàn giao toàn bộ mặt bằng” mâu thuẫn 11.2 và 4.1.2(iv) (hố đào bàn giao từng giai đoạn theo tiến độ đào đất) → điều kiện không bao giờ thỏa mãn cùng lúc, ngày bắt đầu treo vô thời hạn. Cụm “Hồ sơ thiết kế” cụt. Tiến độ chi tiết nộp “kể từ ngày ký” trong khi ngày bắt đầu chưa xác định.</t>
        </is>
      </c>
      <c r="I26" s="26" t="inlineStr">
        <is>
          <t>“Ngày bắt đầu: là ngày ký Hợp đồng. Mặt bằng, hố đào, hồ sơ thiết kế được bàn giao theo từng đợt phù hợp Tiến độ chi tiết được Bên A chấp thuận. Trường hợp Bên A chậm bàn giao từng đợt hoặc chậm tạm ứng quá [07] ngày do lỗi của Bên A, Bên B được xem xét gia hạn tương ứng cho phần việc bị ảnh hưởng theo Điều 7.4.”</t>
        </is>
      </c>
      <c r="J26" s="33" t="inlineStr">
        <is>
          <t>Ngày bắt đầu = ngày muộn hơn giữa ngày ký HĐ và ngày Bên A thông báo khởi công bằng văn bản, nhưng không muộn hơn [15] ngày kể từ ngày ký.</t>
        </is>
      </c>
      <c r="K26" s="19" t="inlineStr">
        <is>
          <t>BB thương thảo</t>
        </is>
      </c>
      <c r="L26" s="27" t="inlineStr">
        <is>
          <t>Chưa xử lý</t>
        </is>
      </c>
      <c r="M26" s="19" t="inlineStr"/>
      <c r="N26" s="28" t="inlineStr">
        <is>
          <t>Ngày bắt đầu = ngày ký HĐ; bàn giao theo đợt; xóa 5 điều kiện của PH.</t>
        </is>
      </c>
      <c r="O26" s="34" t="inlineStr">
        <is>
          <t>Lãnh đạo chốt</t>
        </is>
      </c>
      <c r="P26" s="19" t="n"/>
      <c r="Q26" s="19" t="n"/>
    </row>
    <row r="27" ht="383" customHeight="1">
      <c r="A27" s="17" t="n">
        <v>17</v>
      </c>
      <c r="B27" s="18" t="inlineStr">
        <is>
          <t>7.2 Các câu bảo vệ; 7.3a
(P217, P218, P220, P221, P237)</t>
        </is>
      </c>
      <c r="C27" s="19" t="inlineStr">
        <is>
          <t>• Việc chấp thuận tiến độ thi công chi tiết của Bên A không miễn trừ, không làm giảm trách nhiệm của Bên B theo Hợp đồng. Tiến độ thi công chi tiết được Bên A chấp thuận là căn cứ để quản lý thi công, nghiệm thu, bàn giao và xác định thời gian chậm tiến độ.
• Khi Bên A yêu cầu thi công theo từng đợt, hai bên xác nhận khối lượng từng đợt làm căn cứ bàn giao mặt bằng. Bên B có nghĩa vụ huy động máy móc, thiết bị, nhân lực, vật tư đến Công trường, thi công đúng tiến độ đã được chấp thuận và liên tục cho đến khi hoàn thành.
• Bên B phải huy động đủ máy móc, thiết bị, vật tư, nhân lực để thực hiện công việc theo yêu cầu của Bên A trong thời hạn quy định, bảo đảm Bên A hoàn thành nghĩa vụ theo Hợp đồng thầu chính;
• e) Khi chậm tiến độ, Bên B phải áp dụng biện pháp bổ sung, kể cả tăng ca, làm thêm giờ, làm vào ngày nghỉ, bằng chi phí của mình để bảo đảm tiến độ của Bên A. Bên B phải bồi thường toàn bộ thiệt hại mà Bên A phải gánh chịu do Bên B chậm tiến độ;
• a) Trường hợp Bên B kéo dài thời gian thi công so với các mốc tiến độ quy định tại Điều 7.1 và Tiến độ được Bên A chấp thuận mà không được Bên A chấp thuận bằng văn bản thì bị coi là vi phạm tiến độ và chịu phạt theo Điều 18.3. Ngoài ra, Bên B phải bồi thường toàn bộ thiệt hại của Bên A, bao gồm khoản tiền Bên A bị Chủ đầu tư phạt chậm tiến độ do lỗi của Bên B.</t>
        </is>
      </c>
      <c r="D27" s="19" t="inlineStr">
        <is>
          <t>• . Tiến độ thi công chi tiết được Bên A chấp thuận là căn cứ để quản lý thi công, nghiệm thu, bàn giao và xác định thời gian chậm tiến độ.
• . Bên B có nghĩa vụ huy động máy móc, thiết bị, nhân lực, vật tư đến Công trường, thi công đúng tiến độ đã được chấp thuận và liên tục cho đến khi hoàn thành.
• Bên B phải huy động đủ máy móc, thiết bị, vật tư, nhân lực để thực hiện công việc theo yêu cầu của Bên A trong thời hạn quy định,;
• e) Khi chậm tiến độ, Bên B phải áp dụng biện pháp bổ sung, kể cả tăng ca, làm thêm giờ, làm vào ngày nghỉ, bằng chi phí của mình để bảo đảm tiến độ của Bên A.;
• a) Trường hợp Bên B kéo dài thời gian thi công so với các mốc tiến độ quy định tại Điều 7.1 và Tiến độ được Bên A chấp thuận mà không được Bên A chấp thuận bằng văn bản thì bị coi là vi phạm tiến độ và chịu phạt theo Điều 18.3..</t>
        </is>
      </c>
      <c r="E27" s="17" t="inlineStr">
        <is>
          <t>Xóa câu</t>
        </is>
      </c>
      <c r="F27" s="27" t="inlineStr">
        <is>
          <t>CAO</t>
        </is>
      </c>
      <c r="G27" s="19" t="inlineStr">
        <is>
          <t>Mất: chấp thuận tiến độ không miễn trừ trách nhiệm; thi công theo đợt; bảo đảm Bên A hoàn thành nghĩa vụ với CĐT; bồi thường thiệt hại do chậm tiến độ (kể cả tiền CĐT phạt Bên A).</t>
        </is>
      </c>
      <c r="H27" s="19" t="inlineStr">
        <is>
          <t>Đầu câu còn sót “. .”, cuối câu “,;”, “..”. 7.3a bỏ câu bồi thường nhưng đoạn chung Điều 18 và 18.3 vẫn giữ “phạt không loại trừ bồi thường” → không thống nhất.</t>
        </is>
      </c>
      <c r="I27" s="31" t="inlineStr">
        <is>
          <t>Khôi phục nguyên văn dự thảo A.</t>
        </is>
      </c>
      <c r="J27" s="19" t="inlineStr">
        <is>
          <t>—</t>
        </is>
      </c>
      <c r="K27" s="19" t="inlineStr">
        <is>
          <t>—</t>
        </is>
      </c>
      <c r="L27" s="30" t="inlineStr">
        <is>
          <t>Xử lý một phần</t>
        </is>
      </c>
      <c r="M27" s="19" t="inlineStr">
        <is>
          <t>Chỉ sửa dấu câu ở 7.2 và 7.3a.</t>
        </is>
      </c>
      <c r="N27" s="28" t="inlineStr">
        <is>
          <t>Khôi phục toàn bộ các câu bảo vệ.</t>
        </is>
      </c>
      <c r="O27" s="29" t="inlineStr">
        <is>
          <t>Ban HĐ</t>
        </is>
      </c>
      <c r="P27" s="19" t="n"/>
      <c r="Q27" s="19" t="n"/>
    </row>
    <row r="28" ht="383" customHeight="1">
      <c r="A28" s="17" t="n">
        <v>18</v>
      </c>
      <c r="B28" s="18" t="inlineStr">
        <is>
          <t>Mục mới “Gia hạn thời gian hoàn thành” (không đánh số)
(P225, P226, P227, P228, P229, P230, P231, P232, P233, P234)</t>
        </is>
      </c>
      <c r="C28" s="19" t="inlineStr">
        <is>
          <t>[Không có]</t>
        </is>
      </c>
      <c r="D28" s="19" t="inlineStr">
        <is>
          <t>• . Gia hạn thời gian hoàn thành
• Bên B được phép gia hạn thời gian hoàn thành tướng ứng với thời gian ảnh hưởng do một trong những lý do sau đây:
• Có sự thay đổi phạm vi công việc do thay đổi thiết kế hoặc biện pháp thi công theo chỉ dẫn, yêu cầu của Bên A làm ảnh hưởng đến tiến độ thực hiện Hợp đồng;
• Do ảnh hưởng của các trường hợp Bất khả kháng;
• Do ảnh hưởng của mưa bão;
• Sự chậm trễ, trở ngại trên Công trường do Bên A, nhân lực của Bên A hay các nhà thầu khác của Bên A gây ra như: việc bàn giao toàn bộ hoặc một phần mặt bằng không đúng với các thoả thuận trong Hợp đồng, các thủ tục liên quan ảnh hưởng đến tiến độ thực hiện Hợp đồng mà không do lỗi của Bên B gây ra;
• Bên A chậm phản hồi, phê duyệt các đề xuất/ đề nghị/ hồ sơ do Bên B đệ trình, thời gian chậm tính từ thời điểm các hồ sơ này đủ điều kiện phê duyệt. Bên A chậm chuyển tiền tạm ứng, thanh toán cho Bên B, thời gian chậm thanh toán là quá 15 ngày làm việc kể từ ngày hết hạn thanh toán;
• Chậm phê duyệt đơn giá hạng mục phát sinh ngoài hợp đồng
• Các trường hợp tạm ngừng theo quyết định của Bên A mà không phải do lỗi của Bên B;
• Các trường hợp khác do hai Bên đàm phán thống nhất.</t>
        </is>
      </c>
      <c r="E28" s="17" t="inlineStr">
        <is>
          <t>Thêm mới</t>
        </is>
      </c>
      <c r="F28" s="27" t="inlineStr">
        <is>
          <t>CAO</t>
        </is>
      </c>
      <c r="G28" s="19" t="inlineStr">
        <is>
          <t>“Bên B được phép gia hạn” – tự gia hạn, không cần Bên A chấp thuận, không giới hạn theo CĐT. Có căn cứ: mưa bão, chậm thanh toán, chậm duyệt đơn giá, “các trường hợp khác”. Không có thời hạn thông báo → Bên B đưa yêu cầu gia hạn hồi tố vào cuối dự án.</t>
        </is>
      </c>
      <c r="H28" s="19" t="inlineStr">
        <is>
          <t>(1) Không có số khoản. (2) Trùng với 4.2, 15.1b, 16.5, 17.1(ii) – 5 chỗ cùng quy định gia hạn với điều kiện khác nhau; mâu thuẫn trực tiếp 16.5 (bất khả kháng chỉ gia hạn trong phạm vi CĐT gia hạn). (3) Ngưỡng chậm thanh toán 15 ngày làm việc ≠ 17.1(iii) 07 ngày ≠ 17.2c 30 ngày. (4) “Mưa bão” chồng với bất khả kháng (16.1). (5) “Chậm phê duyệt đơn giá” mâu thuẫn 13.1(ii) do chính PH viết “im lặng là chấp thuận”. (6) “Các trường hợp khác do hai bên thống nhất” vô nghĩa pháp lý. Chính tả “tướng ứng”.</t>
        </is>
      </c>
      <c r="I28" s="26" t="inlineStr">
        <is>
          <t>“7.4. Gia hạn thời gian hoàn thành: Bên B chỉ được Bên A xem xét gia hạn bằng văn bản khi: (i) Bên A yêu cầu thay đổi thiết kế, phạm vi làm tăng công việc trên đường găng; (ii) Bên A chậm bàn giao mặt bằng, hố đào, hồ sơ thiết kế so với Tiến độ chi tiết đã chấp thuận do lỗi của Bên A; (iii) sự kiện bất khả kháng theo Điều 16. Bên B phải thông báo trong [07] ngày kể từ khi phát sinh sự kiện, kèm phân tích ảnh hưởng đường găng; quá thời hạn coi như từ bỏ quyền yêu cầu. Thời gian gia hạn không vượt thời gian Bên A được CĐT gia hạn tương ứng (trừ trường hợp (ii)) và không làm phát sinh chi phí, trừ phần được CĐT bù đắp cho Bên A.” Xóa các căn cứ còn lại.</t>
        </is>
      </c>
      <c r="J28" s="19" t="inlineStr">
        <is>
          <t>Thêm (iv): mưa lớn vượt mức trung bình nhiều năm, có số liệu khí tượng xác nhận, làm ngập hố đào – chỉ gia hạn, không có chi phí. Không chấp nhận căn cứ chậm thanh toán (BB thương thảo: không bù tiến độ).</t>
        </is>
      </c>
      <c r="K28" s="19" t="inlineStr">
        <is>
          <t>BB thương thảo; 16.5</t>
        </is>
      </c>
      <c r="L28" s="25" t="inlineStr">
        <is>
          <t>Đã xử lý</t>
        </is>
      </c>
      <c r="M28" s="19" t="inlineStr">
        <is>
          <t>Xóa toàn bộ mục Gia hạn của PH.</t>
        </is>
      </c>
      <c r="N28" s="28" t="inlineStr">
        <is>
          <t>Bổ sung điểm 7.2 i) gia hạn hẹp (3 căn cứ, thông báo 07 ngày, không vượt phần CĐT gia hạn) làm điểm nhượng bộ.</t>
        </is>
      </c>
      <c r="O28" s="34" t="inlineStr">
        <is>
          <t>Lãnh đạo chốt</t>
        </is>
      </c>
      <c r="P28" s="19" t="n"/>
      <c r="Q28" s="19" t="n"/>
    </row>
    <row r="29" ht="136.5" customHeight="1">
      <c r="A29" s="17" t="n">
        <v>19</v>
      </c>
      <c r="B29" s="18" t="inlineStr">
        <is>
          <t>7.3c Đình chỉ, thuê nhà thầu khác
(P239)</t>
        </is>
      </c>
      <c r="C29" s="19" t="inlineStr">
        <is>
          <t>• c) Trong vòng 07 ngày kể từ ngày Bên A gửi thông báo bằng văn bản hoặc biên bản họp về việc chậm tiến độ mà Bên B không khắc phục hiệu quả, Bên A có quyền đình chỉ phần việc bị chậm để tự thực hiện hoặc giao Nhà thầu khác thực hiện. Toàn bộ chi phí thực hiện phần việc này và thiệt hại liên quan được khấu trừ vào giá trị thanh toán của Bên B.</t>
        </is>
      </c>
      <c r="D29" s="19" t="inlineStr">
        <is>
          <t>• c) Trong vòng 15 ngày kể từ ngày Bên A gửi thông báo bằng văn bản hoặc biên bản họp về việc chậm tiến độ mà Bên B không khắc phục hiệu quả, Bên A có quyền đình chỉ phần việc bị chậm để tự thực hiện hoặc giao Nhà thầu khác thực hiện. Toàn bộ chi phí thực hiện phần việc này và thiệt hại liên quan được khấu trừ vào giá trị thanh toán của Bên B (Đơn giá đối trừ do Bên A thuê các đơn vị khác thực hiện không vượt quá 20% đơn giá hợp đồng này cho các đầu việc tương ứng).</t>
        </is>
      </c>
      <c r="E29" s="17" t="inlineStr">
        <is>
          <t>Sửa</t>
        </is>
      </c>
      <c r="F29" s="27" t="inlineStr">
        <is>
          <t>CAO</t>
        </is>
      </c>
      <c r="G29" s="19" t="inlineStr">
        <is>
          <t>Thời hạn khắc phục 15 ngày quá dài với hố đào sâu; trần chi phí làm Bên A không thể thuê thầu khẩn cấp.</t>
        </is>
      </c>
      <c r="H29" s="19" t="inlineStr">
        <is>
          <t>“Không vượt quá 20% đơn giá hợp đồng” – sai nghĩa (≤ 1/5 đơn giá), ý định là ≤ 120%. Trùng với 6.3b, 9.4(iv), 12.2.11 (tự thực hiện, thuê thầu khác) – 4 chỗ, chỉ chỗ này có trần.</t>
        </is>
      </c>
      <c r="I29" s="26" t="inlineStr">
        <is>
          <t>Giữ dự thảo A: [07] ngày; Bên B chịu toàn bộ chi phí thực tế hợp lý và thiệt hại liên quan.</t>
        </is>
      </c>
      <c r="J29" s="33" t="inlineStr">
        <is>
          <t>[10] ngày; không áp trần; Bên A lấy tối thiểu 02 báo giá làm căn cứ chi phí hợp lý.</t>
        </is>
      </c>
      <c r="K29" s="19" t="inlineStr">
        <is>
          <t>—</t>
        </is>
      </c>
      <c r="L29" s="30" t="inlineStr">
        <is>
          <t>Xử lý một phần</t>
        </is>
      </c>
      <c r="M29" s="19" t="inlineStr">
        <is>
          <t>Có comment “không đồng ý” nhưng chưa sửa chữ.</t>
        </is>
      </c>
      <c r="N29" s="28" t="inlineStr">
        <is>
          <t>Giữ 07 ngày, bỏ trần 20%.</t>
        </is>
      </c>
      <c r="O29" s="29" t="inlineStr">
        <is>
          <t>Ban HĐ</t>
        </is>
      </c>
      <c r="P29" s="19" t="n"/>
      <c r="Q29" s="19" t="n"/>
    </row>
    <row r="30" ht="22" customHeight="1">
      <c r="A30" s="23" t="inlineStr">
        <is>
          <t>ĐIỀU 8 – BẢO HIỂM, BẢO HÀNH</t>
        </is>
      </c>
      <c r="B30" s="24" t="n"/>
      <c r="C30" s="24" t="n"/>
      <c r="D30" s="24" t="n"/>
      <c r="E30" s="24" t="n"/>
      <c r="F30" s="24" t="n"/>
      <c r="G30" s="24" t="n"/>
      <c r="H30" s="24" t="n"/>
      <c r="I30" s="24" t="n"/>
      <c r="J30" s="24" t="n"/>
      <c r="K30" s="24" t="n"/>
      <c r="L30" s="24" t="n"/>
      <c r="M30" s="24" t="n"/>
      <c r="N30" s="24" t="n"/>
      <c r="O30" s="24" t="n"/>
      <c r="P30" s="24" t="n"/>
      <c r="Q30" s="24" t="n"/>
    </row>
    <row r="31" ht="107.5" customHeight="1">
      <c r="A31" s="17" t="n">
        <v>20</v>
      </c>
      <c r="B31" s="18" t="inlineStr">
        <is>
          <t>8.1 Bảo hiểm
(P243)</t>
        </is>
      </c>
      <c r="C31" s="19" t="inlineStr">
        <is>
          <t>• Bên B có nghĩa vụ mua bảo hiểm đối với thiết bị của Bên B, bảo hiểm cho người lao động trên Công trường và bảo hiểm trách nhiệm dân sự đối với bên thứ ba cho phần công việc của Bên B. Bên B phải nộp cho Bên A bản sao chứng thực hợp đồng/giấy chứng nhận bảo hiểm còn hiệu lực trước khi huy động thiết bị, nhân lực vào Công trường và không muộn hơn 30 ngày kể từ ngày ký Hợp đồng.</t>
        </is>
      </c>
      <c r="D31" s="19" t="inlineStr">
        <is>
          <t>• [Giữ nguyên]
► Comment PH: Đề nghị Tổng thầu làm rõ việc mua bảo hiểm này và Phương án thanh toán bảo hiểm khi có sự cố
► Comment PH: Hồ sơ bảo hiểm bên thứ 3 hợp đồng Tổng thầu với CĐT sẽ quy định</t>
        </is>
      </c>
      <c r="E31" s="17" t="inlineStr">
        <is>
          <t>Comment</t>
        </is>
      </c>
      <c r="F31" s="30" t="inlineStr">
        <is>
          <t>TRUNG BÌNH</t>
        </is>
      </c>
      <c r="G31" s="19" t="inlineStr">
        <is>
          <t>Chưa rõ ai mua bảo hiểm TNDS bên thứ ba.</t>
        </is>
      </c>
      <c r="H31" s="19" t="inlineStr">
        <is>
          <t>Hai comment của PH tự mâu thuẫn: một comment đề nghị Tổng thầu làm rõ, comment kia nói HĐ Tổng thầu sẽ quy định.</t>
        </is>
      </c>
      <c r="I31" s="31" t="inlineStr">
        <is>
          <t>Giữ nguyên văn. Trả lời PH bằng văn bản theo HĐ thầu chính: CĐT mua bảo hiểm công trình (8.1 đoạn 1); Bên B mua bảo hiểm thiết bị, người lao động, TNDS bên thứ ba cho phần việc của mình; nộp trong 30 ngày.</t>
        </is>
      </c>
      <c r="J31" s="19" t="inlineStr">
        <is>
          <t>Nếu HĐ thầu chính đã có bảo hiểm TNDS chung: Bên B chịu mức khấu trừ (deductible) và phần vượt hạn mức do lỗi của Bên B.</t>
        </is>
      </c>
      <c r="K31" s="19" t="inlineStr">
        <is>
          <t>HĐ thầu chính</t>
        </is>
      </c>
      <c r="L31" s="27" t="inlineStr">
        <is>
          <t>Chưa xử lý</t>
        </is>
      </c>
      <c r="M31" s="19" t="inlineStr">
        <is>
          <t>Hai comment PH chưa được trả lời.</t>
        </is>
      </c>
      <c r="N31" s="28" t="inlineStr">
        <is>
          <t>Comment trả lời PH về bảo hiểm.</t>
        </is>
      </c>
      <c r="O31" s="29" t="inlineStr">
        <is>
          <t>Ban HĐ</t>
        </is>
      </c>
      <c r="P31" s="19" t="n"/>
      <c r="Q31" s="19" t="n"/>
    </row>
    <row r="32" ht="78.5" customHeight="1">
      <c r="A32" s="17" t="n">
        <v>21</v>
      </c>
      <c r="B32" s="18" t="inlineStr">
        <is>
          <t>8.2 Bảo hành
(P246)</t>
        </is>
      </c>
      <c r="C32" s="19" t="inlineStr">
        <is>
          <t>• Thời hạn bảo hành: 24 tháng (riêng công tác chống thấm: 60 tháng) kể từ ngày Chủ đầu tư ký biên bản nghiệm thu hoàn thành Công trình đưa vào sử dụng, nhưng không ngắn hơn thời hạn bảo hành mà Bên A phải chịu theo Hợp đồng thầu chính.</t>
        </is>
      </c>
      <c r="D32" s="19" t="inlineStr">
        <is>
          <t>• Thời hạn bảo hành: 24 tháng kể từ ngày Chủ đầu tư ký biên bản nghiệm thu hoàn thành hạng mục Công trình theo phạm vi hợp đồng, nhưng không ngắn hơn thời hạn bảo hành mà Bên A phải chịu theo Hợp đồng thầu chính.</t>
        </is>
      </c>
      <c r="E32" s="17" t="inlineStr">
        <is>
          <t>Sửa</t>
        </is>
      </c>
      <c r="F32" s="27" t="inlineStr">
        <is>
          <t>CAO</t>
        </is>
      </c>
      <c r="G32" s="19" t="inlineStr">
        <is>
          <t>Bỏ bảo hành chống thấm 60 tháng (phần ngầm sửa chữa rất tốn kém); mốc tính từ khi CĐT nghiệm thu “hạng mục theo phạm vi HĐ” (sớm hơn) thay vì Công trình đưa vào sử dụng.</t>
        </is>
      </c>
      <c r="H32" s="19" t="inlineStr">
        <is>
          <t>Trong cùng một câu có 2 mốc: “hạng mục theo phạm vi” và “không ngắn hơn thời hạn Bên A chịu theo HĐ thầu chính”. (Lỗi sẵn có của dự thảo A: tiền bảo hành 5% ở 8.2, 10.3.2c nhưng 3% ở 10.3.2c đoạn sau và 20.3 – xem sheet 3.)</t>
        </is>
      </c>
      <c r="I32" s="26" t="inlineStr">
        <is>
          <t>“Thời hạn bảo hành: 24 tháng (riêng chống thấm: [60] tháng) kể từ ngày CĐT ký biên bản nghiệm thu hoàn thành Công trình đưa vào sử dụng, nhưng không ngắn hơn thời hạn bảo hành Bên A chịu theo HĐ thầu chính.”</t>
        </is>
      </c>
      <c r="J32" s="33" t="inlineStr">
        <is>
          <t>Chống thấm [36] tháng hoặc bằng thời hạn Tổng thầu cam kết với CĐT, lấy thời hạn dài hơn.</t>
        </is>
      </c>
      <c r="K32" s="19" t="inlineStr">
        <is>
          <t>BB thương thảo: 24 tháng từ CĐT nghiệm thu đưa vào sử dụng</t>
        </is>
      </c>
      <c r="L32" s="27" t="inlineStr">
        <is>
          <t>Chưa xử lý</t>
        </is>
      </c>
      <c r="M32" s="19" t="inlineStr"/>
      <c r="N32" s="28" t="inlineStr">
        <is>
          <t>Mốc từ CĐT nghiệm thu đưa vào sử dụng; chống thấm [60] tháng.</t>
        </is>
      </c>
      <c r="O32" s="34" t="inlineStr">
        <is>
          <t>Lãnh đạo chốt</t>
        </is>
      </c>
      <c r="P32" s="19" t="n"/>
      <c r="Q32" s="19" t="n"/>
    </row>
    <row r="33" ht="22" customHeight="1">
      <c r="A33" s="23" t="inlineStr">
        <is>
          <t>ĐIỀU 9 – GIÁ HỢP ĐỒNG</t>
        </is>
      </c>
      <c r="B33" s="24" t="n"/>
      <c r="C33" s="24" t="n"/>
      <c r="D33" s="24" t="n"/>
      <c r="E33" s="24" t="n"/>
      <c r="F33" s="24" t="n"/>
      <c r="G33" s="24" t="n"/>
      <c r="H33" s="24" t="n"/>
      <c r="I33" s="24" t="n"/>
      <c r="J33" s="24" t="n"/>
      <c r="K33" s="24" t="n"/>
      <c r="L33" s="24" t="n"/>
      <c r="M33" s="24" t="n"/>
      <c r="N33" s="24" t="n"/>
      <c r="O33" s="24" t="n"/>
      <c r="P33" s="24" t="n"/>
      <c r="Q33" s="24" t="n"/>
    </row>
    <row r="34" ht="136.5" customHeight="1">
      <c r="A34" s="17" t="n">
        <v>22</v>
      </c>
      <c r="B34" s="18" t="inlineStr">
        <is>
          <t>9.1 Hình thức giá
(P254)</t>
        </is>
      </c>
      <c r="C34" s="19" t="inlineStr">
        <is>
          <t>• Hợp đồng theo đơn giá cố định. Đơn giá không được điều chỉnh trong suốt thời gian thực hiện Hợp đồng, khi có biến động giá vật liệu, . Trường hợp pháp luật bắt buộc điều chỉnh hoặc Chủ đầu tư chấp thuận điều chỉnh giá cho Bên A, Bên B được điều chỉnh tương ứng với khối lượng do Bên B thực hiện, không vượt quá mức Chủ đầu tư chấp thuận và được thanh toán sau khi Bên A nhận được thanh toán từ Chủ đầu tư.</t>
        </is>
      </c>
      <c r="D34" s="19" t="inlineStr">
        <is>
          <t>• Hợp đồng theo đơn giá cố định. Đơn giá không được điều chỉnh trong suốt thời gian thực hiện Hợp đồng, (Trừ trường hợp khi có biến động giá vật liệu, theo quy định tại khoản 9.4 của Điều này. Trường hợp pháp luật bắt buộc điều chỉnh hoặc Chủ đầu tư chấp thuận điều chỉnh giá cho Bên A, Bên B được điều chỉnh tương ứng với khối lượng do Bên B thực hiện, không vượt quá mức Chủ đầu tư chấp thuận và được thanh toán sau khi Bên A nhận được thanh toán từ Chủ đầu tư.</t>
        </is>
      </c>
      <c r="E34" s="17" t="inlineStr">
        <is>
          <t>Sửa</t>
        </is>
      </c>
      <c r="F34" s="27" t="inlineStr">
        <is>
          <t>CAO</t>
        </is>
      </c>
      <c r="G34" s="19" t="inlineStr">
        <is>
          <t>Mở ngoại lệ điều chỉnh giá vật liệu theo 9.4 → phá nguyên tắc đơn giá cố định.</t>
        </is>
      </c>
      <c r="H34" s="19" t="inlineStr">
        <is>
          <t>Dấu ngoặc “(Trừ…” không đóng. Câu 2 (chỉ điều chỉnh trong phạm vi CĐT chấp thuận) mâu thuẫn trực tiếp 9.4 (công thức độc lập với CĐT) → cùng một điều, hai cơ chế.</t>
        </is>
      </c>
      <c r="I34" s="31" t="inlineStr">
        <is>
          <t>“Hợp đồng theo đơn giá cố định. Đơn giá không được điều chỉnh trong suốt thời gian thực hiện Hợp đồng, kể cả khi có biến động giá vật liệu, nhân công, máy thi công. Trường hợp pháp luật bắt buộc điều chỉnh hoặc CĐT chấp thuận điều chỉnh giá cho Bên A, Bên B được điều chỉnh tương ứng…” (giữ nguyên phần còn lại).</t>
        </is>
      </c>
      <c r="J34" s="19" t="inlineStr">
        <is>
          <t>—</t>
        </is>
      </c>
      <c r="K34" s="19" t="inlineStr">
        <is>
          <t>BB thương thảo: đơn giá cố định</t>
        </is>
      </c>
      <c r="L34" s="27" t="inlineStr">
        <is>
          <t>Chưa xử lý</t>
        </is>
      </c>
      <c r="M34" s="19" t="inlineStr"/>
      <c r="N34" s="28" t="inlineStr">
        <is>
          <t>PA tốt nhất (bỏ ngoại lệ 9.4).</t>
        </is>
      </c>
      <c r="O34" s="34" t="inlineStr">
        <is>
          <t>Lãnh đạo chốt</t>
        </is>
      </c>
      <c r="P34" s="19" t="n"/>
      <c r="Q34" s="19" t="n"/>
    </row>
    <row r="35" ht="93" customHeight="1">
      <c r="A35" s="17" t="n">
        <v>23</v>
      </c>
      <c r="B35" s="18" t="inlineStr">
        <is>
          <t>9.3a Giá trị HĐ
(P258)</t>
        </is>
      </c>
      <c r="C35" s="19" t="inlineStr">
        <is>
          <t>• a) Giá Hợp đồng (tạm tính): 215.928.265.204 đồng, đã bao gồm thuế GTGT 8% (Bằng chữ: Hai trăm mười lăm tỷ, chín trăm hai mươi tám triệu, hai trăm sáu mươi lăm nghìn, hai trăm linh bốn đồng). Trong đó: giá trị trước thuế 199.933.578.893 đồng; thuế GTGT 8% 15.994.686.311 đồng. Thuế suất GTGT áp dụng theo quy định của pháp luật.</t>
        </is>
      </c>
      <c r="D35" s="19" t="inlineStr">
        <is>
          <t>• [Giữ nguyên]
► Comment PH: Chờ Cập nhật lại số liệu thầu sau khi thống nhất phạm vi</t>
        </is>
      </c>
      <c r="E35" s="17" t="inlineStr">
        <is>
          <t>Comment</t>
        </is>
      </c>
      <c r="F35" s="30" t="inlineStr">
        <is>
          <t>TRUNG BÌNH</t>
        </is>
      </c>
      <c r="G35" s="19" t="inlineStr">
        <is>
          <t>Giá trị trong bản PH là số cũ.</t>
        </is>
      </c>
      <c r="H35" s="19" t="inlineStr">
        <is>
          <t>Bảng BOQ trong bản PH vẫn là số cũ 199.933.578.893.</t>
        </is>
      </c>
      <c r="I35" s="26" t="inlineStr">
        <is>
          <t>Cập nhật theo Biểu 01 ngày 15.10.2026: trước thuế [200.309.911.834] đ; VAT [16.024.792.947] đ; sau thuế [216.334.704.781] đ (chờ chốt chiết khấu 164.702 đ). Tính lại tạm ứng, bảo lãnh.</t>
        </is>
      </c>
      <c r="J35" s="19" t="inlineStr">
        <is>
          <t>—</t>
        </is>
      </c>
      <c r="K35" s="19" t="inlineStr">
        <is>
          <t>Biểu 01 15.10.2026</t>
        </is>
      </c>
      <c r="L35" s="27" t="inlineStr">
        <is>
          <t>Chưa xử lý</t>
        </is>
      </c>
      <c r="M35" s="19" t="inlineStr"/>
      <c r="N35" s="28" t="inlineStr">
        <is>
          <t>Cập nhật theo Biểu 01 ngày 15.10.2026 (số bôi vàng, chờ chiết khấu).</t>
        </is>
      </c>
      <c r="O35" s="34" t="inlineStr">
        <is>
          <t>Lãnh đạo chốt</t>
        </is>
      </c>
      <c r="P35" s="19" t="n"/>
      <c r="Q35" s="19" t="n"/>
    </row>
    <row r="36" ht="409" customHeight="1">
      <c r="A36" s="17" t="n">
        <v>24</v>
      </c>
      <c r="B36" s="18" t="inlineStr">
        <is>
          <t>9.4 Điều chỉnh giá trị HĐ (mới)
(P265, P266, P267, P268, P269, P270, P271, P272, P273, P274, P275, P276, P277, P278, P279, P280, P281, P282, P283, P284, P290, P291, P292, P293)</t>
        </is>
      </c>
      <c r="C36" s="19" t="inlineStr">
        <is>
          <t>• 03</t>
        </is>
      </c>
      <c r="D36" s="19" t="inlineStr">
        <is>
          <t>• 9.4. Điều chỉnh giá trị Hợp đồng
• b) Các trường hợp điều chỉnh giá trị Hợp đồng:
• Trừ khi có yêu cầu khác của Bên A, việc phát sinh tăng hoặc giảm giá trị Hợp đồng chỉ được thực hiện khi xảy ra một trong các trường hợp sau:
• Bên A thay đổi thiết kế và/hoặc điều chỉnh nội dung, phạm vi công việc;
• Bên A muốn tăng khối lượng/hạng mục ngoài Phạm vi công việc hoặc cắt giảm khối lượng hoặc hạng mục công việc và có thông báo đến Bên B trước khi Bên B bắt đầu triển khai thực hiện công việc đó. Trường hợp Bên A cắt giảm khối lượng công việc ảnh hưởng lớn đến giá trị Hợp đồng mà không phải do lỗi của Bên B gây ra, thì cần được Hai bên thống nhất;
• Các công việc mà trên thực tế Bên B hoàn toàn không thực hiện hoặc thực hiện không đầy đủ Phạm vi công việc mà Các bên đã thỏa thuận tại Phụ lục số 01 và Bên A có quyền khấu trừ giá trị phần công việc chưa được thực hiện hoặc thực hiện không đầy đủ vào tổng giá trị của Hợp đồng quy định tại Khoản 6.1 Điều này;
• Bên B thực hiện chậm trễ hoặc chất lượng không đạt tiêu chuẩn của một số hạng mục và Bên A cần thuê một nhà thầu khác thực hiện để đạt tiến độ và chất lượng theo yêu cầu.
• Thời gian tạm dừng thực hiện Hợp đồng từ 30 (ba mươi) ngày trở lên mà không do lỗi của Bên B và/hoặc do sự kiện Bất khả kháng gây ra, Bên A sẽ thanh toán cho Bên B các khoản chi phí hợp lý phát sinh bao gồm chi phí nhân công và máy móc thiết bị chính (được Các bên thống nhất bằng văn bản trước khi thực hiện) tại Công trường trong thời gian tạm dừng. Tổng giá trị các khoản chi phí này sẽ được Các bên thống nhất trước khi thanh toán.
• Đơn giá vật tư chính (gồm thép xây dựng, bê tông thương phẩm) tăng giảm quá 5% so với Đơn giá cơ sở.
• c) Cách thức xác định đơn giá và khối lượng điều chỉnh:
• Khi có khối lượng công việc phát sinh ngoài phạm vi Hợp đồng đã ký kết thì Các bên phải lập phụ lục Hợp đồng bổ sung, trong đó xác định rõ về khối lượng công việc bổ sung và đơn giá áp dụng.
• Đối với các công việc phát sinh đã có đơn giá trong Hợp đồng tùy theo từng trường hợp và tính chất công việc phát sinh mà áp dụng đơn giá trong Hợp đồng đã ký. Đối với các công việc bổ sung chưa có đơn giá trong Hợp đồng thì đơn giá mới được xác định trên cơ sở thoả thuận của Các bên và phù hợp với quy định của pháp luật;
• Trường hợp điều chỉnh giá trị Hợp đồng theo quy định tại Mục (vi) Điểm b) Khoản này, phương pháp điều chỉnh như sau:
• Điều kiện áp dụng: Giá của từng chủng loại vật tư thuộc phạm vi điều chỉnh tăng hoặc giảm từ 5% trở lên so với Đơn giá cơ sở;
• Danh mục vật tư được điều chỉnh giá: thép xây dựng, bê tông thương phẩm;
• Đơn giá cơ sở: Được xác định theo phụ lục đính kèm hợp đồng này;
• Nguồn xác định đơn giá vật tư đầu vào: Theo Thông báo giá của nhà sản xuất, nhà cung cấp đã được Bên A chấp thuận theo quy định của Hợp đồng này.
• Phương pháp tính giá trị điều chỉnh:
• Công thức tính giá trị điều chỉnh:
• GTĐC= (Gt - Gc x (100% + D)) x Q
• D: tỷ lệ biến động vật tư. D=5% nếu biến động tăng, D=-5% nếu biến động giảm so với giá cơ sở. Phần biến động trong phạm vi ± 5% không được tính vào giá trị điều chỉnh.
• Kỳ điều chỉnh giá: Định kỳ mỗi 01 tháng/lần
• Trường hợp giảm khối lượng công việc hoặc hạng mục công việc thuộc phạm vi công việc phải thực hiện theo Hợp đồng đã ký kết thì giá trị Hợp đồng phải giảm tương ứng với phần giá trị khối lượng công việc/hạng mục công việc mà Bên B không thực hiện.
• Trường hợp thay đổi thiết kế, hai Bên sẽ chỉ tính toán khối lượng thay đổi tăng/giảm cho riêng việc thay đổi thiết kế. Những khu vực, hạng mục không thay đổi thiết kế sẽ không xem xét lại khối lượng.</t>
        </is>
      </c>
      <c r="E36" s="17" t="inlineStr">
        <is>
          <t>Thêm mới</t>
        </is>
      </c>
      <c r="F36" s="27" t="inlineStr">
        <is>
          <t>CAO</t>
        </is>
      </c>
      <c r="G36" s="21" t="inlineStr">
        <is>
          <t>LẰN RANH ĐỎ. Điều chỉnh giá thép, bê tông hằng tháng khi biến động &gt;±5% theo báo giá nhà cung cấp do chính Bên B chọn; HĐ thầu chính không có cơ chế tương ứng → Bên A bù mà không thu lại được từ CĐT. Tạm dừng ≥30 ngày “không do lỗi Bên B” (gồm cả do CĐT, bất khả kháng) → Bên A trả chi phí nhân công, máy.</t>
        </is>
      </c>
      <c r="H36" s="19" t="inlineStr">
        <is>
          <t>Bắt đầu bằng điểm b), không có a). Dẫn chiếu sai: “Phụ lục số 01” (HĐ dùng “Biểu 01”), “Khoản 6.1 Điều này” (không tồn tại; giá HĐ ở 9.3), “Mục (vi) Điểm b)” (các mục không đánh số), “Đơn giá cơ sở theo phụ lục” (không có phụ lục nào). Trùng: (i)(ii) trùng 13.1, 11.1; (iii) trùng 15.2; (iv) trùng 6.3b, 7.3c; (v) trùng và mâu thuẫn 11.2, 17.1, 17.2c; điểm c) trùng 13.1 nhưng khác cơ chế (“thỏa thuận” thay vì Bên B chiết tính – Bên A duyệt); 2 đoạn cuối trùng 9.3, 15.2. “Trừ khi có yêu cầu khác của Bên A” vô nghĩa.</t>
        </is>
      </c>
      <c r="I36" s="31" t="inlineStr">
        <is>
          <t>XÓA TOÀN BỘ 9.4. Nếu cần khoản này, chỉ 01 câu: “Giá trị Hợp đồng chỉ được điều chỉnh khi có khối lượng thực tế tăng, giảm theo Điều 15.2 hoặc công việc phát sinh, thay đổi theo Điều 13.”</t>
        </is>
      </c>
      <c r="J36" s="33" t="inlineStr">
        <is>
          <t>(Chỉ khi lãnh đạo chấp nhận) điều chỉnh riêng thép khi biến động vượt ±[10]% theo giá do Liên Sở Xây dựng – Tài chính Hà Nội công bố; chỉ cho khối lượng thi công đúng tiến độ (không áp dụng phần chậm do Bên B); không vượt mức CĐT chấp thuận cho Tổng thầu.</t>
        </is>
      </c>
      <c r="K36" s="19" t="inlineStr">
        <is>
          <t>BB thương thảo; HĐ thầu chính</t>
        </is>
      </c>
      <c r="L36" s="27" t="inlineStr">
        <is>
          <t>Chưa xử lý</t>
        </is>
      </c>
      <c r="M36" s="19" t="inlineStr"/>
      <c r="N36" s="28" t="inlineStr">
        <is>
          <t>Xóa toàn bộ 9.4, thay bằng 01 câu.</t>
        </is>
      </c>
      <c r="O36" s="34" t="inlineStr">
        <is>
          <t>Lãnh đạo chốt</t>
        </is>
      </c>
      <c r="P36" s="19" t="n"/>
      <c r="Q36" s="19" t="n"/>
    </row>
    <row r="37" ht="22" customHeight="1">
      <c r="A37" s="23" t="inlineStr">
        <is>
          <t>ĐIỀU 10 – TẠM ỨNG, THANH TOÁN, QUYẾT TOÁN</t>
        </is>
      </c>
      <c r="B37" s="24" t="n"/>
      <c r="C37" s="24" t="n"/>
      <c r="D37" s="24" t="n"/>
      <c r="E37" s="24" t="n"/>
      <c r="F37" s="24" t="n"/>
      <c r="G37" s="24" t="n"/>
      <c r="H37" s="24" t="n"/>
      <c r="I37" s="24" t="n"/>
      <c r="J37" s="24" t="n"/>
      <c r="K37" s="24" t="n"/>
      <c r="L37" s="24" t="n"/>
      <c r="M37" s="24" t="n"/>
      <c r="N37" s="24" t="n"/>
      <c r="O37" s="24" t="n"/>
      <c r="P37" s="24" t="n"/>
      <c r="Q37" s="24" t="n"/>
    </row>
    <row r="38" ht="180" customHeight="1">
      <c r="A38" s="17" t="n">
        <v>25</v>
      </c>
      <c r="B38" s="18" t="inlineStr">
        <is>
          <t>10.3.1 Tạm ứng
(P300, P302, P305, P313)</t>
        </is>
      </c>
      <c r="C38" s="19" t="inlineStr">
        <is>
          <t>• a) Giá trị tạm ứng: 20% giá trị Hợp đồng trước thuế GTGT, tương ứng 39.986.715.779 đồng. Bên A tạm ứng trong vòng 15 ngày làm việc kể từ ngày nhận đủ các hồ sơ hợp lệ sau của Bên B:
• - Thư đề nghị tạm ứng;
• - Biên bản xác nhận thiết bị thi công đã tập kết tại Công trường, có xác nhận của Bên A;
• - Theo yêu cầu của cơ quan nhà nước có thẩm quyền hoặc của Bên A, Bên B có nghĩa vụ chứng minh việc sử dụng tiền tạm ứng đúng mục đích bằng hóa đơn, chứng từ. Trường hợp sử dụng sai mục đích, Bên A có quyền thu hồi ngay toàn bộ tiền tạm ứng.</t>
        </is>
      </c>
      <c r="D38" s="19" t="inlineStr">
        <is>
          <t>• a) Giá trị tạm ứng: 30% giá trị Hợp đồng trước thuế GTGT,. Bên A tạm ứng trong vòng 07 ngày làm việc kể từ ngày nhận đủ các hồ sơ hợp lệ sau của Bên B:
• - Công văn đề nghị tạm ứng;
• [Xóa]: - Biên bản xác nhận thiết bị thi công đã tập kết tại Công tr…
• [Xóa]: - Theo yêu cầu của cơ quan nhà nước có thẩm quyền hoặc của B…</t>
        </is>
      </c>
      <c r="E38" s="17" t="inlineStr">
        <is>
          <t>Sửa, xóa</t>
        </is>
      </c>
      <c r="F38" s="27" t="inlineStr">
        <is>
          <t>CAO</t>
        </is>
      </c>
      <c r="G38" s="21" t="inlineStr">
        <is>
          <t>LẰN RANH ĐỎ. Tạm ứng 30% (~60 tỷ), bỏ điều kiện tập kết thiết bị, bỏ quyền thu hồi khi dùng sai mục đích. Cộng với 70% chi phí chung đầu kỳ và 80% vật tư → tiền Bên A chi ra vượt giá trị hoàn thành, Bên A ứng vốn cho Bên B.</t>
        </is>
      </c>
      <c r="H38" s="19" t="inlineStr">
        <is>
          <t>Xóa số tiền tạm ứng (“…trước thuế GTGT,.” – câu cụt). Tạm ứng là điều kiện của ngày bắt đầu (7.2) → vòng lặp. 10.3.2e bị sửa thành “thanh toán các khoản,” – câu cụt.</t>
        </is>
      </c>
      <c r="I38" s="26" t="inlineStr">
        <is>
          <t>“a) Giá trị tạm ứng: 20% giá trị Hợp đồng trước thuế GTGT, tương ứng [40.061.982.367] đồng. Bên A tạm ứng trong vòng [07] ngày làm việc kể từ ngày nhận đủ: HĐ đã ký; Công văn đề nghị tạm ứng; BL thực hiện HĐ 5%; BL tạm ứng 100%; Biên bản xác nhận thiết bị chính đã tập kết.” Khôi phục quyền kiểm tra, thu hồi ngay khi dùng sai mục đích.</t>
        </is>
      </c>
      <c r="J38" s="33" t="inlineStr">
        <is>
          <t>Chia 2 đợt: [10]% khi nộp đủ bảo lãnh; [10]% khi tập kết thiết bị chính. Chấp nhận 07 ngày làm việc và cụm “Công văn đề nghị”.</t>
        </is>
      </c>
      <c r="K38" s="19" t="inlineStr">
        <is>
          <t>BB thương thảo: tạm ứng 20%</t>
        </is>
      </c>
      <c r="L38" s="27" t="inlineStr">
        <is>
          <t>Chưa xử lý</t>
        </is>
      </c>
      <c r="M38" s="19" t="inlineStr"/>
      <c r="N38" s="28" t="inlineStr">
        <is>
          <t>20%; giữ 07 ngày làm việc của PH; khôi phục điều kiện tập kết thiết bị và quyền thu hồi khi sai mục đích.</t>
        </is>
      </c>
      <c r="O38" s="34" t="inlineStr">
        <is>
          <t>Lãnh đạo chốt</t>
        </is>
      </c>
      <c r="P38" s="19" t="n"/>
      <c r="Q38" s="19" t="n"/>
    </row>
    <row r="39" ht="368.5" customHeight="1">
      <c r="A39" s="17" t="n">
        <v>26</v>
      </c>
      <c r="B39" s="18" t="inlineStr">
        <is>
          <t>10.3.2a Thanh toán theo đợt – hồ sơ
(P315, P316, P319, P320, P321)</t>
        </is>
      </c>
      <c r="C39" s="19" t="inlineStr">
        <is>
          <t>• a) Thanh toán theo đợt: Bên A thanh toán cho Bên B đến 90% giá trị khối lượng hoàn thành được nghiệm thu của từng đợt (giá trị đề nghị thanh toán mỗi đợt tối thiểu 2.000.000.000 đồng), sau khi trừ tiền thu hồi tạm ứng và các khoản khấu trừ (nếu có). Hồ sơ thanh toán theo đợt thực hiện theo nguyên tắc back to back với Hợp đồng thầu chính, gồm:
• - Hồ sơ chất lượng theo quy định về quản lý chất lượng công trình xây dựng (hồ sơ pháp lý liên quan, biên bản nghiệm thu, kết quả thí nghiệm, kiểm định chất lượng sản phẩm, bản vẽ hoàn công, nhật ký thi công); chứng chỉ vật liệu; riêng công tác quan trắc công trình lân cận và thí nghiệm chống thấm phải có đề cương, báo cáo kết quả quan trắc, thí nghiệm;
• - Biên bản nghiệm thu hoàn thành công việc theo giai đoạn; Bảng xác định khối lượng hoàn thành được Bên A, Tư vấn giám sát và Chủ đầu tư xác nhận (khối lượng xác định theo bản vẽ hoàn công được phê duyệt);
• - Bảng xác định giá trị khối lượng hoàn thành được Bên A xác nhận;
• - Bảng xác định giá trị khối lượng phát sinh ngoài hợp đồng (nếu có). Phần phát sinh sẽ được hai bên lập thành Phụ lục Hợp đồng sau khi giá trị phần phát sinh được Chủ đầu tư phê duyệt;</t>
        </is>
      </c>
      <c r="D39" s="19" t="inlineStr">
        <is>
          <t>• a) Thanh toán theo đợt: Hàng tháng 2 bên sẽ tổng hợp xác nhận khối lượng hoàn thành trong tháng, Bên B sẽ hoàn thiện hồ sơ thanh toán trình bên A xác nhận. Bên A thanh toán cho Bên B đến 90% giá trị khối lượng hoàn thành được nghiệm thu của từng đợt, sau khi trừ tiền thu hồi tạm ứng và các khoản khấu trừ (nếu có). Hồ sơ thanh gồm:
• - Hồ sơ chất lượng theo quy định về quản lý chất lượng công trình xây dựng (hồ sơ pháp lý liên quan, biên bản nghiệm thu, kết quả thí nghiệm, kiểm định chất lượng sản phẩm, bản vẽ hoàn công, nhật ký thi công); chứng chỉ vật liệu; riêng công thí nghiệm chống thấm phải có đề cương thí nghiệm;
► Comment PH: Phạm vi quan trắc của Tổng thầu
• - Biên bản nghiệm thu hoàn thành công việc theo giai đoạn; Bảng xác định khối lượng hoàn thành được Bên A xác nhận (khối lượng xác định theo bản vẽ hoàn công được phê duyệt);
► Comment PH: HĐ TVGS với CĐT không phải với Tổng thầu
• - Bảng xác định giá trị khối lượng hoàn thành được Bên A xác nhận (Khối lượng hoàn thành theo thực tế thi công tăng hoặc giảm so với khối lượng hợp đồng);
• - Bảng xác định giá trị khối lượng phát sinh ngoài hợp đồng (nếu có). Phần phát sinh sẽ được hai bên lập thành Phụ lục Hợp đồng;</t>
        </is>
      </c>
      <c r="E39" s="17" t="inlineStr">
        <is>
          <t>Sửa</t>
        </is>
      </c>
      <c r="F39" s="27" t="inlineStr">
        <is>
          <t>CAO</t>
        </is>
      </c>
      <c r="G39" s="19" t="inlineStr">
        <is>
          <t>Bỏ back-to-back hồ sơ, bỏ xác nhận khối lượng của TVGS/CĐT, phát sinh không cần CĐT duyệt → Bên A trả cho B khối lượng mà CĐT chưa (hoặc không) chấp nhận trả cho Bên A.</t>
        </is>
      </c>
      <c r="H39" s="19" t="inlineStr">
        <is>
          <t>Bỏ TVGS ở đây nhưng 10.3.2d (PH giữ) vẫn: “khối lượng… được Bên A, TVGS phê duyệt và không vượt khối lượng được CĐT nghiệm thu” → mâu thuẫn. Bỏ back-to-back nhưng PH giữ nghĩa vụ phối hợp hồ sơ cho CĐT (P333). “Hồ sơ thanh gồm” thiếu chữ. Cụm “(tăng hoặc giảm so với KL HĐ)” trùng 9.3, 15.2.</t>
        </is>
      </c>
      <c r="I39" s="31" t="inlineStr">
        <is>
          <t>Chấp nhận kỳ thanh toán hằng tháng, bỏ ngưỡng 2 tỷ. Khôi phục: “Hồ sơ thanh toán theo đợt thực hiện theo nguyên tắc back to back với HĐ thầu chính”; “Bảng xác định khối lượng hoàn thành được Bên A, TVGS và CĐT xác nhận”; “phát sinh lập phụ lục sau khi giá trị phát sinh được CĐT phê duyệt”. Chấp nhận bỏ quan trắc công trình lân cận khỏi hồ sơ (quan trắc thuộc Tổng thầu theo Ma trận).</t>
        </is>
      </c>
      <c r="J39" s="33" t="inlineStr">
        <is>
          <t>Khi TVGS chậm xác nhận quá [10] ngày không do lỗi của Bên B, Bên A tạm thanh toán [70]% khối lượng do Bên A xác nhận; phần còn lại thanh toán khi có xác nhận của TVGS.</t>
        </is>
      </c>
      <c r="K39" s="19" t="inlineStr">
        <is>
          <t>BB thương thảo: hồ sơ back-to-back</t>
        </is>
      </c>
      <c r="L39" s="30" t="inlineStr">
        <is>
          <t>Xử lý một phần</t>
        </is>
      </c>
      <c r="M39" s="19" t="inlineStr">
        <is>
          <t>Bỏ cụm “tăng hoặc giảm…”; phát sinh lỗi “đề cươngthí”.</t>
        </is>
      </c>
      <c r="N39" s="28" t="inlineStr">
        <is>
          <t>Chấp nhận kỳ tháng, bỏ ngưỡng 2 tỷ; khôi phục back-to-back, xác nhận TVGS/CĐT, phát sinh CĐT duyệt; sửa lỗi chữ.</t>
        </is>
      </c>
      <c r="O39" s="34" t="inlineStr">
        <is>
          <t>Lãnh đạo chốt</t>
        </is>
      </c>
      <c r="P39" s="19" t="n"/>
      <c r="Q39" s="19" t="n"/>
    </row>
    <row r="40" ht="180" customHeight="1">
      <c r="A40" s="17" t="n">
        <v>27</v>
      </c>
      <c r="B40" s="18" t="inlineStr">
        <is>
          <t>10.3.2a Chi phí chung, cẩu tháp
(P325, P326, P327, P328)</t>
        </is>
      </c>
      <c r="C40" s="19" t="inlineStr">
        <is>
          <t>• - Giá trị phần Công tác trọn gói tại Biểu 01 [Chi tiết giá hợp đồng] được thanh toán
• theo tỷ lệ giá trị khối lượng công tác thi công chính hoàn thành trên tổng giá trị công tác thi công chính của Hợp đồng, hoặc theo giá trị công việc Công tác chuẩn bị, Biện pháp thi công được nghiệm thu, áp dụng giá trị nào thấp hơn.</t>
        </is>
      </c>
      <c r="D40" s="19" t="inlineStr">
        <is>
          <t>• - Giá trị phần Công tác trọn gói tại Biểu 01 [Chi tiết giá hợp đồng] được thanh toán như sau:
• Phần chi phí chung: Thanh toán 70% sau khi Bên B hoàn thành lắp đặt văn phòng tiện ích, đấu nối điện nước thi công, lắp đặt đưa vào vận hành 03/4 cẩu tháp. 30% giá trị còn lại thanh toán theo tỷ lệ % khối lượng hoàn thành các đợt.
• Phần chi phí cẩu tháp: Thanh toán 100% khối lượng hoàn thành từng thiết bị sau khi lắp đặt đưa cẩu vào vận hành
• [Xóa]: theo tỷ lệ giá trị khối lượng công tác thi công chính hoàn t…</t>
        </is>
      </c>
      <c r="E40" s="17" t="inlineStr">
        <is>
          <t>Thay thế</t>
        </is>
      </c>
      <c r="F40" s="27" t="inlineStr">
        <is>
          <t>CAO</t>
        </is>
      </c>
      <c r="G40" s="19" t="inlineStr">
        <is>
          <t>Trả trước 70% chi phí chung khi mới dựng lán trại, 100% cẩu tháp khi mới lắp → dồn tiền đầu kỳ; nếu Bên B bỏ dở, Bên A đã trả phần vận hành, tháo dỡ chưa làm.</t>
        </is>
      </c>
      <c r="H40" s="19" t="inlineStr">
        <is>
          <t>Xóa tiêu chí thanh toán theo tỷ lệ (P328). “03/4 cẩu tháp” mơ hồ. 9.3 vẫn quy định chi phí chung, cẩu tháp là trọn gói → không mâu thuẫn về giá nhưng mâu thuẫn về nhịp thanh toán.</t>
        </is>
      </c>
      <c r="I40" s="31" t="inlineStr">
        <is>
          <t>Khôi phục A: thanh toán theo tỷ lệ giá trị công tác thi công chính hoàn thành trên tổng giá trị công tác thi công chính, hoặc theo giá trị nghiệm thu, áp dụng giá trị thấp hơn.</t>
        </is>
      </c>
      <c r="J40" s="33" t="inlineStr">
        <is>
          <t>Chi phí chung: [20]% khi nghiệm thu hoàn thành huy động, phần còn lại theo tỷ lệ hoàn thành. Cẩu tháp: [30]% khi lắp dựng xong, có kiểm định; [60]% chia đều theo tháng vận hành thực tế; [10]% khi tháo dỡ, di dời.</t>
        </is>
      </c>
      <c r="K40" s="19" t="inlineStr">
        <is>
          <t>—</t>
        </is>
      </c>
      <c r="L40" s="27" t="inlineStr">
        <is>
          <t>Chưa xử lý</t>
        </is>
      </c>
      <c r="M40" s="19" t="inlineStr"/>
      <c r="N40" s="28" t="inlineStr">
        <is>
          <t>Chi phí chung 20/80; cẩu tháp 30/60/10 (thỏa hiệp).</t>
        </is>
      </c>
      <c r="O40" s="34" t="inlineStr">
        <is>
          <t>Lãnh đạo chốt</t>
        </is>
      </c>
      <c r="P40" s="19" t="n"/>
      <c r="Q40" s="19" t="n"/>
    </row>
    <row r="41" ht="368.5" customHeight="1">
      <c r="A41" s="17" t="n">
        <v>28</v>
      </c>
      <c r="B41" s="18" t="inlineStr">
        <is>
          <t>Thời hạn xác nhận hồ sơ và thanh toán đợt
(P330, P331, P332, P333, P334, P379)</t>
        </is>
      </c>
      <c r="C41" s="19" t="inlineStr">
        <is>
          <t>• 15
• - Thời hạn xem xét, xác nhận hồ sơ thanh toán của Bên A, Tư vấn giám sát và Chủ đầu tư thực hiện theo nguyên tắc back to back với thời hạn xem xét, phê duyệt hồ sơ thanh toán của Chủ đầu tư và Tư vấn giám sát theo Hợp đồng thầu chính.
• - Bên B có trách nhiệm phối hợp với Bên A hoàn thiện hồ sơ thanh toán đáp ứng yêu cầu của Tư vấn giám sát, Chủ đầu tư để Bên A kịp thời nộp hồ sơ thanh toán cho Chủ đầu tư.
• - Trường hợp Bên A, Tư vấn giám sát hoặc Chủ đầu tư yêu cầu chỉnh sửa, bổ sung hồ sơ, Bên B phải hoàn thành trong thời hạn Bên A yêu cầu; thời gian Bên B chỉnh sửa, bổ sung không tính vào thời hạn xem xét, xác nhận và thanh toán của Bên A.
• Bên A thanh toán các khoản tạm ứng, thanh toán theo đợt trong vòng 14 ngày kể từ ngày nhận đủ hồ sơ thanh toán hợp lệ của Bên B. Giá trị quyết toán còn lại được thanh toán trong vòng 14 ngày kể từ ngày Bên A nhận được thanh toán tương ứng của Chủ đầu tư.</t>
        </is>
      </c>
      <c r="D41" s="19" t="inlineStr">
        <is>
          <t>• Bên A sẽ kiểm tra, cho ý kiến về hồ sơ cho Bên B trong vòng 15 (mười lăm) ngày kể từ ngày Bên A nhận được đầy đủ hồ sơ đề nghị thanh toán hợp lệ từ Bên B. Nếu có bất kỳ yêu cầu chỉnh sửa, giải trình nào về hồ sơ (nếu có), Bên A sẽ tổng hợp và phản hồi một lần đến Bên B trong vòng 15 (mười lăm) việc nêu trên. Nếu quá thời hạn trên mà Bên B không nhận được bất kỳ phản hồi nào từ Bên A thì xem như hồ sơ Bên B đệ trình đã được Bên A phê duyệt.
• Thời hạn thanh toán: Trong vòng 07 ngày làm việc kể từ ngày Bên A phê duyệt hồ sơ thanh toán do Bên B cung cấp
• [Xóa]: - Thời hạn xem xét, xác nhận hồ sơ thanh toán của Bên A, Tư …
• - Bên B có trách nhiệm phối hợp cung cấp hồ sơ liên quan để Bên A hoàn thiện hồ sơ thanh toán đáp ứng yêu cầu của Tư vấn giám sát, Chủ đầu tư để Bên A kịp thời nộp hồ sơ thanh toán giữa Bên A với Chủ đầu tư.
• [Xóa]: - Trường hợp Bên A, Tư vấn giám sát hoặc Chủ đầu tư yêu cầu …
• Bên A thanh toán các khoản, thanh toán theo đợt trong vòng 14 ngày kể từ ngày nhận đủ hồ sơ thanh toán hợp lệ của Bên B. Giá trị quyết toán còn lại được thanh toán trong vòng 14 ngày kể từ ngày Bên A nhận được hồ sơ Quyết toán của Bên B.</t>
        </is>
      </c>
      <c r="E41" s="17" t="inlineStr">
        <is>
          <t>Thêm mới, xóa</t>
        </is>
      </c>
      <c r="F41" s="27" t="inlineStr">
        <is>
          <t>CAO</t>
        </is>
      </c>
      <c r="G41" s="21" t="inlineStr">
        <is>
          <t>LẰN RANH ĐỎ. “Quá 15 ngày không phản hồi = hồ sơ được phê duyệt”: theo Điều 393 BLDS 2015 im lặng chỉ là chấp nhận khi có thỏa thuận – ký vào là tự trói Bên A. Bỏ back-to-back thời hạn với TVGS, CĐT; bỏ câu thời gian Bên B sửa hồ sơ không tính vào thời hạn.</t>
        </is>
      </c>
      <c r="H41" s="19" t="inlineStr">
        <is>
          <t>Ba thời hạn khác nhau cho cùng một việc: P330 (15 ngày + 15 ngày phản hồi) + P331 (07 ngày làm việc sau duyệt) và 10.3.2e (14 ngày kể từ nhận hồ sơ). Câu “trong vòng 15 (mười lăm) việc nêu trên” sai ngữ pháp. Im lặng = phê duyệt mâu thuẫn 10.3.2d và Điều 2 (quyết định của Bên A là cuối cùng). Thêm 17.1 (BCH duyệt quá 20 ngày) – thời hạn thứ tư.</t>
        </is>
      </c>
      <c r="I41" s="26" t="inlineStr">
        <is>
          <t>Gộp về một chỗ (10.3.2e): “Thời hạn Bên A xem xét, xác nhận hồ sơ thực hiện theo nguyên tắc back to back với thời hạn TVGS, CĐT xem xét theo HĐ thầu chính. Bên A thanh toán trong vòng [14] ngày kể từ ngày hồ sơ được xác nhận đầy đủ. Thời gian Bên B sửa đổi, bổ sung hồ sơ không tính vào thời hạn. Việc Bên A không có ý kiến không được coi là chấp thuận.” Xóa P330, P331.</t>
        </is>
      </c>
      <c r="J41" s="33" t="inlineStr">
        <is>
          <t>Bên A phản hồi lần đầu trong [10] ngày làm việc và nêu đủ yêu cầu chỉnh sửa trong một lần; không chấp nhận cơ chế mặc nhiên phê duyệt.</t>
        </is>
      </c>
      <c r="K41" s="19" t="inlineStr">
        <is>
          <t>BB thương thảo: thanh toán 14 ngày; BLDS Đ393</t>
        </is>
      </c>
      <c r="L41" s="27" t="inlineStr">
        <is>
          <t>Chưa xử lý</t>
        </is>
      </c>
      <c r="M41" s="19" t="inlineStr"/>
      <c r="N41" s="28" t="inlineStr">
        <is>
          <t>Back-to-back, không “im lặng là phê duyệt”, gộp thời hạn 14 ngày; xóa đoạn 07 ngày làm việc.</t>
        </is>
      </c>
      <c r="O41" s="34" t="inlineStr">
        <is>
          <t>Lãnh đạo chốt</t>
        </is>
      </c>
      <c r="P41" s="19" t="n"/>
      <c r="Q41" s="19" t="n"/>
    </row>
    <row r="42" ht="165.5" customHeight="1">
      <c r="A42" s="17" t="n">
        <v>29</v>
      </c>
      <c r="B42" s="18" t="inlineStr">
        <is>
          <t>10.3.2b Thanh toán vật tư (mới)
(P335, P336)</t>
        </is>
      </c>
      <c r="C42" s="19" t="inlineStr">
        <is>
          <t>• b</t>
        </is>
      </c>
      <c r="D42" s="19" t="inlineStr">
        <is>
          <t>• b) Thanh toán vật tư: Hàng tháng hai bên chốt khối lượng vật tư thép xây dựng, bê tông thương phẩm về công trình, Bên A thanh toán cho Bên B đến 80% giá trị vật tư thép xây dựng, bê tông theo hồ sơ thanh toán vật tư hàng tháng hoặc 65% giá trị phần vật tư theo khối lượng nhập về công trường và đơn giá hợp đồng của đầu việc tương ứng. Giá trị thanh toán vật tư này sẽ được khấu trừ trong hồ sơ thanh toán gần nhất tương tứng với tỷ lệ giá trị vật tư đưa vào hồ sơ thanh toán khối lượng hoàn thành.
• [Xóa]: b</t>
        </is>
      </c>
      <c r="E42" s="17" t="inlineStr">
        <is>
          <t>Thêm mới</t>
        </is>
      </c>
      <c r="F42" s="27" t="inlineStr">
        <is>
          <t>CAO</t>
        </is>
      </c>
      <c r="G42" s="21" t="inlineStr">
        <is>
          <t>LẰN RANH ĐỎ. Bản chất là tạm ứng vật tư 80%/65%, không bảo lãnh, không giới hạn dư nợ → trái BB thương thảo.</t>
        </is>
      </c>
      <c r="H42" s="19" t="inlineStr">
        <is>
          <t>Hai mức 80% và 65% nhưng không nói ai chọn. “Khấu trừ… tương ứng với tỷ lệ” mơ hồ. Xung đột 6.4 (vật tư thuộc Bên A khi được thanh toán) với 14.4 (Bên B chịu rủi ro đến khi bàn giao). Làm lệch ký hiệu: quyết toán thành c), thanh toán bảo hành cũng là c) → hai điểm c).</t>
        </is>
      </c>
      <c r="I42" s="31" t="inlineStr">
        <is>
          <t>XÓA TOÀN BỘ; trả ký hiệu b) cho thanh toán quyết toán.</t>
        </is>
      </c>
      <c r="J42" s="33" t="inlineStr">
        <is>
          <t>(Chỉ khi lãnh đạo duyệt) chỉ áp dụng cho thép tập kết đã nghiệm thu đầu vào có TVGS; tối đa [50]% giá vật liệu trong đơn giá; có bảo lãnh tương ứng; thu hồi 100% ở kỳ kế tiếp; tổng dư nợ không vượt [5]% giá trị HĐ.</t>
        </is>
      </c>
      <c r="K42" s="19" t="inlineStr">
        <is>
          <t>BB thương thảo: không tạm ứng vật tư</t>
        </is>
      </c>
      <c r="L42" s="25" t="inlineStr">
        <is>
          <t>Đã xử lý</t>
        </is>
      </c>
      <c r="M42" s="19" t="inlineStr">
        <is>
          <t>Đã xóa thanh toán vật tư.</t>
        </is>
      </c>
      <c r="N42" s="28" t="inlineStr">
        <is>
          <t>Giữ xóa; sửa ký hiệu quyết toán c) → b).</t>
        </is>
      </c>
      <c r="O42" s="34" t="inlineStr">
        <is>
          <t>Lãnh đạo chốt</t>
        </is>
      </c>
      <c r="P42" s="19" t="n"/>
      <c r="Q42" s="19" t="n"/>
    </row>
    <row r="43" ht="136.5" customHeight="1">
      <c r="A43" s="17" t="n">
        <v>30</v>
      </c>
      <c r="B43" s="18" t="inlineStr">
        <is>
          <t>10.4 Chậm thanh toán (mới)
(P339, P340)</t>
        </is>
      </c>
      <c r="C43" s="19" t="inlineStr">
        <is>
          <t>• A</t>
        </is>
      </c>
      <c r="D43" s="19" t="inlineStr">
        <is>
          <t>• 10.4. Chậm thanh toán
• Trong trường Bên A chậm thanh toán theo tiến độ hợp đồng thì phải chịu một khoản lãi chậm thanh toán bằng 150% của lãi suất tiết kiệm kỳ hạn 01 (một) tháng (đồng Việt Nam, trả lãi sau) do Ngân hàng TMCP Ngoại thương Việt Nam công bố tại thời điểm tính lãi nhân với số tiền chậm thanh toán. Thời gian chậm thanh toán tính từ ngày hết thời hạn thanh toán cho tới ngày liền trước ngày thanh toán thực tế.</t>
        </is>
      </c>
      <c r="E43" s="17" t="inlineStr">
        <is>
          <t>Thêm mới</t>
        </is>
      </c>
      <c r="F43" s="30" t="inlineStr">
        <is>
          <t>TRUNG BÌNH</t>
        </is>
      </c>
      <c r="G43" s="19" t="inlineStr">
        <is>
          <t>Lãi 150% lãi tiết kiệm VCB tính từ ngày đầu chậm, kể cả khi CĐT chưa trả cho Bên A (vì PH đã xóa câu loại trừ P380).</t>
        </is>
      </c>
      <c r="H43" s="19" t="inlineStr">
        <is>
          <t>Trùng số “10.4” với 10.4 Hóa đơn. Câu thiếu chữ “Trong trường Bên A”.</t>
        </is>
      </c>
      <c r="I43" s="26" t="inlineStr">
        <is>
          <t>“10.11. Chậm thanh toán: Trường hợp Bên A chậm thanh toán do lỗi của Bên A quá [14] ngày, Bên A trả lãi trên số tiền chậm trả theo lãi suất tiền gửi kỳ hạn 01 tháng của ngân hàng nơi Bên B mở tài khoản. Không áp dụng khi CĐT chậm thanh toán cho Bên A phần tương ứng. Việc chậm thanh toán không là căn cứ gia hạn tiến độ.”</t>
        </is>
      </c>
      <c r="J43" s="19" t="inlineStr">
        <is>
          <t>Lãi bằng 100% (không nhân 150%) lãi suất tiết kiệm 01 tháng VCB.</t>
        </is>
      </c>
      <c r="K43" s="19" t="inlineStr">
        <is>
          <t>BB thương thảo: lãi huy động NH Bên B, không bù tiến độ</t>
        </is>
      </c>
      <c r="L43" s="25" t="inlineStr">
        <is>
          <t>Đã xử lý</t>
        </is>
      </c>
      <c r="M43" s="19" t="inlineStr">
        <is>
          <t>Đã xóa 10.4 lãi chậm trả.</t>
        </is>
      </c>
      <c r="N43" s="28" t="inlineStr">
        <is>
          <t>Giữ xóa; khôi phục câu CĐT chậm thì lùi tương ứng. Nếu PH đòi lại: lãi huy động ngân hàng Bên B (BB thương thảo).</t>
        </is>
      </c>
      <c r="O43" s="34" t="inlineStr">
        <is>
          <t>Lãnh đạo chốt</t>
        </is>
      </c>
      <c r="P43" s="19" t="n"/>
      <c r="Q43" s="19" t="n"/>
    </row>
    <row r="44" ht="238" customHeight="1">
      <c r="A44" s="17" t="n">
        <v>31</v>
      </c>
      <c r="B44" s="18" t="inlineStr">
        <is>
          <t>Quyết toán; CĐT chậm thanh toán
(P337, P343, P379, P380)</t>
        </is>
      </c>
      <c r="C44" s="19" t="inlineStr">
        <is>
          <t>• ) Thanh toán quyết toán: sau khi Bên B hoàn thành toàn bộ công việc, các bên ký Biên bản nghiệm thu hoàn thành, bàn giao Hạng mục công trình và Chủ đầu tư phê duyệt giá trị quyết toán phần công việc tương ứng theo Hợp đồng thầu chính.
• Hồ sơ quyết toán thực hiện theo nguyên tắc back to back với Hợp đồng thầu chính, gồm:
• Bên A thanh toán các khoản tạm ứng, thanh toán theo đợt trong vòng 14 ngày kể từ ngày nhận đủ hồ sơ thanh toán hợp lệ của Bên B. Giá trị quyết toán còn lại được thanh toán trong vòng 14 ngày kể từ ngày Bên A nhận được thanh toán tương ứng của Chủ đầu tư.
• Trường hợp Chủ đầu tư chậm thanh toán cho Bên A phần công việc tương ứng, thời hạn thanh toán cho Bên B được lùi tương ứng; Bên A không bị coi là vi phạm nghĩa vụ thanh toán và không phải trả lãi chậm thanh toán.</t>
        </is>
      </c>
      <c r="D44" s="19" t="inlineStr">
        <is>
          <t>• c) Thanh toán quyết toán: sau khi Bên B hoàn thành toàn bộ công việc, các bên ký Biên bản nghiệm thu hoàn thành, bàn giao Hạng mục công trình và Chủ đầu tư phê duyệt giá trị quyết toán phần công việc tương ứng theo Hợp đồng thầu chính.
• Hồ sơ quyết toán gồm:
• Bên A thanh toán các khoản, thanh toán theo đợt trong vòng 14 ngày kể từ ngày nhận đủ hồ sơ thanh toán hợp lệ của Bên B. Giá trị quyết toán còn lại được thanh toán trong vòng 14 ngày kể từ ngày Bên A nhận được hồ sơ Quyết toán của Bên B.
• [Xóa]: Trường hợp Chủ đầu tư chậm thanh toán cho Bên A phần công vi…</t>
        </is>
      </c>
      <c r="E44" s="17" t="inlineStr">
        <is>
          <t>Sửa, xóa</t>
        </is>
      </c>
      <c r="F44" s="27" t="inlineStr">
        <is>
          <t>CAO</t>
        </is>
      </c>
      <c r="G44" s="21" t="inlineStr">
        <is>
          <t>LẰN RANH ĐỎ. Quyết toán trả trong 14 ngày kể từ nhận hồ sơ của Bên B, không phụ thuộc CĐT; xóa câu “CĐT chậm thì lùi tương ứng, không lãi” → Bên A ứng tiền quyết toán, chịu lãi.</t>
        </is>
      </c>
      <c r="H44" s="19" t="inlineStr">
        <is>
          <t>Bốn thời hạn quyết toán: điểm c (sau khi CĐT phê duyệt quyết toán – PH giữ), P338 (30 ngày xem xét), P364 (30 ngày – đoạn LẶP NGUYÊN VĂN P338), 19.1(iii) (28 ngày), 10.3.2e (14 ngày từ nhận hồ sơ – trả tiền trước khi xem xét xong).</t>
        </is>
      </c>
      <c r="I44" s="31" t="inlineStr">
        <is>
          <t>Khôi phục: “Giá trị quyết toán còn lại được thanh toán trong vòng 14 ngày kể từ ngày Bên A nhận được thanh toán quyết toán tương ứng của CĐT” + khôi phục P380 (CĐT chậm thì lùi tương ứng, không lãi). Khôi phục “Hồ sơ quyết toán thực hiện theo nguyên tắc back to back”. Xóa đoạn lặp P364; đồng bộ 19.1(iii) = 30 ngày.</t>
        </is>
      </c>
      <c r="J44" s="33" t="inlineStr">
        <is>
          <t>Nếu CĐT chậm quá [90] ngày không do lỗi của Bên B, Bên A thanh toán trước [50]% giá trị quyết toán còn lại.</t>
        </is>
      </c>
      <c r="K44" s="19" t="inlineStr">
        <is>
          <t>BB thương thảo: quyết toán back-to-back</t>
        </is>
      </c>
      <c r="L44" s="30" t="inlineStr">
        <is>
          <t>Xử lý một phần</t>
        </is>
      </c>
      <c r="M44" s="19" t="inlineStr">
        <is>
          <t>Câu thời hạn quyết toán bị cắt cụt (“…kể từ ngày Bên A”).</t>
        </is>
      </c>
      <c r="N44" s="28" t="inlineStr">
        <is>
          <t>Sửa câu: 14 ngày sau khi CĐT thanh toán; back-to-back hồ sơ; xóa đoạn lặp; thống nhất 97%/3%.</t>
        </is>
      </c>
      <c r="O44" s="34" t="inlineStr">
        <is>
          <t>Lãnh đạo chốt</t>
        </is>
      </c>
      <c r="P44" s="19" t="n"/>
      <c r="Q44" s="19" t="n"/>
    </row>
    <row r="45" ht="78.5" customHeight="1">
      <c r="A45" s="17" t="n">
        <v>32</v>
      </c>
      <c r="B45" s="18" t="inlineStr">
        <is>
          <t>Hồ sơ quyết toán – ghi chú “không phụ thuộc TVGS, CĐT”
(P346, P347)</t>
        </is>
      </c>
      <c r="C45" s="19" t="inlineStr">
        <is>
          <t>• Phần thi công:
• - Hồ sơ, bản vẽ hoàn công đã được các bên xác nhận;</t>
        </is>
      </c>
      <c r="D45" s="19" t="inlineStr">
        <is>
          <t>• Phần thi công: (Bên A tuân thủ biểu mẫu hồ sơ theo quy trình của dự án, việc xác nhận hồ sơ để phê duyệt thanh toán/quyết toán là sau khi Bên A ký phê duyệt không phụ thuộc và việc ký hồ sơ của TVGS hay Chủ đầu tư)
• - Hồ sơ, bản vẽ hoàn công;</t>
        </is>
      </c>
      <c r="E45" s="17" t="inlineStr">
        <is>
          <t>Thêm ghi chú</t>
        </is>
      </c>
      <c r="F45" s="27" t="inlineStr">
        <is>
          <t>CAO</t>
        </is>
      </c>
      <c r="G45" s="19" t="inlineStr">
        <is>
          <t>Bên A tự xác nhận khối lượng không cần TVGS, CĐT → Bên A có thể bị CĐT cắt khối lượng mà vẫn phải trả cho B.</t>
        </is>
      </c>
      <c r="H45" s="19" t="inlineStr">
        <is>
          <t>Ghi chú trong ngoặc chèn vào tiêu đề “Phần thi công” – không phải điều khoản. Mâu thuẫn 10.3.2d và 15.2.</t>
        </is>
      </c>
      <c r="I45" s="31" t="inlineStr">
        <is>
          <t>Xóa ghi chú; khôi phục “Hồ sơ, bản vẽ hoàn công đã được các bên xác nhận”.</t>
        </is>
      </c>
      <c r="J45" s="19" t="inlineStr">
        <is>
          <t>—</t>
        </is>
      </c>
      <c r="K45" s="19" t="inlineStr">
        <is>
          <t>—</t>
        </is>
      </c>
      <c r="L45" s="30" t="inlineStr">
        <is>
          <t>Xử lý một phần</t>
        </is>
      </c>
      <c r="M45" s="19" t="inlineStr">
        <is>
          <t>Đã xóa ghi chú “không phụ thuộc TVGS”.</t>
        </is>
      </c>
      <c r="N45" s="28" t="inlineStr">
        <is>
          <t>Khôi phục “đã được các bên xác nhận”.</t>
        </is>
      </c>
      <c r="O45" s="29" t="inlineStr">
        <is>
          <t>Ban HĐ</t>
        </is>
      </c>
      <c r="P45" s="19" t="n"/>
      <c r="Q45" s="19" t="n"/>
    </row>
    <row r="46" ht="49.5" customHeight="1">
      <c r="A46" s="17" t="n">
        <v>33</v>
      </c>
      <c r="B46" s="18" t="inlineStr">
        <is>
          <t>Thời hạn hoàn trả bảo hành
(P381)</t>
        </is>
      </c>
      <c r="C46" s="19" t="inlineStr">
        <is>
          <t>• Thời hạn thanh toán tiền bảo hành: trong vòng 20 ngày làm việc kể từ ngày Bên A nhận đủ hồ sơ thanh toán tiền bảo hành hợp lệ của Bên B.</t>
        </is>
      </c>
      <c r="D46" s="19" t="inlineStr">
        <is>
          <t>• Thời hạn thanh toán tiền bảo hành: trong vòng 07 ngày làm việc kể từ ngày Bên A nhận đủ hồ sơ thanh toán tiền bảo hành hợp lệ của Bên B.</t>
        </is>
      </c>
      <c r="E46" s="17" t="inlineStr">
        <is>
          <t>Sửa 20→07</t>
        </is>
      </c>
      <c r="F46" s="25" t="inlineStr">
        <is>
          <t>THẤP</t>
        </is>
      </c>
      <c r="G46" s="19" t="inlineStr">
        <is>
          <t>Chấp nhận được.</t>
        </is>
      </c>
      <c r="H46" s="19" t="inlineStr">
        <is>
          <t>(Lỗi sẵn có của dự thảo A: 5% hay 3% – xem sheet 3.)</t>
        </is>
      </c>
      <c r="I46" s="31" t="inlineStr">
        <is>
          <t>CHẤP NHẬN 07 ngày làm việc, bổ sung “và sau khi CĐT đã hoàn trả tiền bảo hành tương ứng cho Bên A”.</t>
        </is>
      </c>
      <c r="J46" s="19" t="inlineStr">
        <is>
          <t>—</t>
        </is>
      </c>
      <c r="K46" s="19" t="inlineStr">
        <is>
          <t>HĐ thầu chính</t>
        </is>
      </c>
      <c r="L46" s="32" t="inlineStr">
        <is>
          <t>Chấp nhận bản PH</t>
        </is>
      </c>
      <c r="M46" s="19" t="inlineStr"/>
      <c r="N46" s="28" t="inlineStr">
        <is>
          <t>Chấp nhận.</t>
        </is>
      </c>
      <c r="O46" s="29" t="inlineStr">
        <is>
          <t>Ban HĐ</t>
        </is>
      </c>
      <c r="P46" s="19" t="n"/>
      <c r="Q46" s="19" t="n"/>
    </row>
    <row r="47" ht="107.5" customHeight="1">
      <c r="A47" s="17" t="n">
        <v>34</v>
      </c>
      <c r="B47" s="18" t="inlineStr">
        <is>
          <t>10.7 Giá trị tạm thời
(P390)</t>
        </is>
      </c>
      <c r="C47" s="19" t="inlineStr">
        <is>
          <t>• 10.7. Giá trị khối lượng hoàn thành xác nhận giữa kỳ là giá trị tạm thời. Bên A có quyền điều chỉnh, sửa đổi giá trị đã xác nhận ở các lần thanh toán trước trong bất kỳ lần thanh toán nào. Việc xác nhận hồ sơ thanh toán giữa kỳ không phải là sự chấp thuận, phê duyệt của Bên A đối với chất lượng công việc. Giá trị Bên A thanh toán cuối cùng cho Bên B là giá trị quyết toán Hợp đồng.</t>
        </is>
      </c>
      <c r="D47" s="19" t="inlineStr">
        <is>
          <t>• 10.7. Giá trị Bên A thanh toán cuối cùng cho Bên B là giá trị quyết toán Hợp đồng.</t>
        </is>
      </c>
      <c r="E47" s="17" t="inlineStr">
        <is>
          <t>Sửa</t>
        </is>
      </c>
      <c r="F47" s="30" t="inlineStr">
        <is>
          <t>TRUNG BÌNH</t>
        </is>
      </c>
      <c r="G47" s="19" t="inlineStr">
        <is>
          <t>Mất quyền điều chỉnh giá trị đã xác nhận ở kỳ trước (thanh toán thừa, trùng).</t>
        </is>
      </c>
      <c r="H47" s="19" t="inlineStr">
        <is>
          <t>PH vẫn giữ 10.9, 10.10 (tạm giữ, bù trừ) và cơ chế khấu trừ tạm khi thiếu R28 (P318) → bỏ 10.7 tạo khoảng trống.</t>
        </is>
      </c>
      <c r="I47" s="31" t="inlineStr">
        <is>
          <t>Khôi phục nguyên văn 10.7.</t>
        </is>
      </c>
      <c r="J47" s="19" t="inlineStr">
        <is>
          <t>Thêm: “Bên A thông báo bằng văn bản căn cứ điều chỉnh.”</t>
        </is>
      </c>
      <c r="K47" s="19" t="inlineStr">
        <is>
          <t>—</t>
        </is>
      </c>
      <c r="L47" s="27" t="inlineStr">
        <is>
          <t>Chưa xử lý</t>
        </is>
      </c>
      <c r="M47" s="19" t="inlineStr"/>
      <c r="N47" s="28" t="inlineStr">
        <is>
          <t>Khôi phục 10.7 + thông báo căn cứ điều chỉnh (PA lùi).</t>
        </is>
      </c>
      <c r="O47" s="29" t="inlineStr">
        <is>
          <t>Ban HĐ</t>
        </is>
      </c>
      <c r="P47" s="19" t="n"/>
      <c r="Q47" s="19" t="n"/>
    </row>
    <row r="48" ht="22" customHeight="1">
      <c r="A48" s="23" t="inlineStr">
        <is>
          <t>ĐIỀU 11 – NGHĨA VỤ BÊN A</t>
        </is>
      </c>
      <c r="B48" s="24" t="n"/>
      <c r="C48" s="24" t="n"/>
      <c r="D48" s="24" t="n"/>
      <c r="E48" s="24" t="n"/>
      <c r="F48" s="24" t="n"/>
      <c r="G48" s="24" t="n"/>
      <c r="H48" s="24" t="n"/>
      <c r="I48" s="24" t="n"/>
      <c r="J48" s="24" t="n"/>
      <c r="K48" s="24" t="n"/>
      <c r="L48" s="24" t="n"/>
      <c r="M48" s="24" t="n"/>
      <c r="N48" s="24" t="n"/>
      <c r="O48" s="24" t="n"/>
      <c r="P48" s="24" t="n"/>
      <c r="Q48" s="24" t="n"/>
    </row>
    <row r="49" ht="64" customHeight="1">
      <c r="A49" s="17" t="n">
        <v>35</v>
      </c>
      <c r="B49" s="18" t="inlineStr">
        <is>
          <t>11.2 Bàn giao mặt bằng
(P408)</t>
        </is>
      </c>
      <c r="C49" s="19" t="inlineStr">
        <is>
          <t>• Bàn giao toàn bộ hoặc từng phần mặt bằng thi công mà Bên A nhận được từ Chủ đầu tư phù hợp với tiến độ; bàn giao hố đào theo từng giai đoạn sau khi Nhà thầu khác hoàn thành công tác đất tương ứng.</t>
        </is>
      </c>
      <c r="D49" s="19" t="inlineStr">
        <is>
          <t>• Bàn giao toàn bộ mặt bằng thi công mà Bên A nhận được từ Chủ đầu tư phù hợp với tiến độ; bàn giao hố đào theo từng giai đoạn sau khi Nhà thầu khác hoàn thành công tác đất tương ứng.</t>
        </is>
      </c>
      <c r="E49" s="17" t="inlineStr">
        <is>
          <t>Sửa</t>
        </is>
      </c>
      <c r="F49" s="27" t="inlineStr">
        <is>
          <t>CAO</t>
        </is>
      </c>
      <c r="G49" s="19" t="inlineStr">
        <is>
          <t>Bỏ “từng phần” → Bên A phải bàn giao toàn bộ; kết hợp 7.2 thành điều kiện treo ngày bắt đầu.</t>
        </is>
      </c>
      <c r="H49" s="19" t="inlineStr">
        <is>
          <t>Tự mâu thuẫn trong cùng câu: “bàn giao toàn bộ mặt bằng” nhưng “bàn giao hố đào theo từng giai đoạn”.</t>
        </is>
      </c>
      <c r="I49" s="31" t="inlineStr">
        <is>
          <t>Khôi phục “toàn bộ hoặc từng phần”.</t>
        </is>
      </c>
      <c r="J49" s="19" t="inlineStr">
        <is>
          <t>—</t>
        </is>
      </c>
      <c r="K49" s="19" t="inlineStr">
        <is>
          <t>4.1.2(iv)</t>
        </is>
      </c>
      <c r="L49" s="27" t="inlineStr">
        <is>
          <t>Chưa xử lý</t>
        </is>
      </c>
      <c r="M49" s="19" t="inlineStr"/>
      <c r="N49" s="28" t="inlineStr">
        <is>
          <t>Khôi phục “toàn bộ hoặc từng phần”.</t>
        </is>
      </c>
      <c r="O49" s="29" t="inlineStr">
        <is>
          <t>Ban HĐ</t>
        </is>
      </c>
      <c r="P49" s="19" t="n"/>
      <c r="Q49" s="19" t="n"/>
    </row>
    <row r="50" ht="49.5" customHeight="1">
      <c r="A50" s="17" t="n">
        <v>36</v>
      </c>
      <c r="B50" s="18" t="inlineStr">
        <is>
          <t>11.2 Giấy phép
(P411)</t>
        </is>
      </c>
      <c r="C50" s="19" t="inlineStr">
        <is>
          <t>• Hỗ trợ Bên B trong việc xin các loại giấy phép, thỏa thuận, văn bản chấp thuận liên quan đến công việc của Hợp đồng (nếu có).</t>
        </is>
      </c>
      <c r="D50" s="19" t="inlineStr">
        <is>
          <t>• thực hiện việc xin các loại giấy phép, thỏa thuận, văn bản chấp thuận liên quan đến công việc của Hợp đồng (nếu có).</t>
        </is>
      </c>
      <c r="E50" s="17" t="inlineStr">
        <is>
          <t>Sửa</t>
        </is>
      </c>
      <c r="F50" s="30" t="inlineStr">
        <is>
          <t>TRUNG BÌNH</t>
        </is>
      </c>
      <c r="G50" s="19" t="inlineStr">
        <is>
          <t>Bên A “thực hiện” xin mọi giấy phép liên quan đến công việc của HĐ (kể cả giấy phép vận chuyển, đổ thải của Bên B).</t>
        </is>
      </c>
      <c r="H50" s="19" t="inlineStr">
        <is>
          <t>Trùng và mâu thuẫn 12.2.1a (Bên B tự xin giấy phép thiết bị). Đầu câu viết thường.</t>
        </is>
      </c>
      <c r="I50" s="31" t="inlineStr">
        <is>
          <t>Khôi phục “Hỗ trợ Bên B…”; bổ sung: “Bên A (hoặc CĐT) chịu trách nhiệm giấy phép xây dựng và các thủ tục thuộc trách nhiệm của CĐT.”</t>
        </is>
      </c>
      <c r="J50" s="19" t="inlineStr">
        <is>
          <t>—</t>
        </is>
      </c>
      <c r="K50" s="19" t="inlineStr">
        <is>
          <t>—</t>
        </is>
      </c>
      <c r="L50" s="27" t="inlineStr">
        <is>
          <t>Chưa xử lý</t>
        </is>
      </c>
      <c r="M50" s="19" t="inlineStr"/>
      <c r="N50" s="28" t="inlineStr">
        <is>
          <t>Khôi phục “hỗ trợ”, phân định giấy phép thuộc CĐT.</t>
        </is>
      </c>
      <c r="O50" s="29" t="inlineStr">
        <is>
          <t>Ban HĐ</t>
        </is>
      </c>
      <c r="P50" s="19" t="n"/>
      <c r="Q50" s="19" t="n"/>
    </row>
    <row r="51" ht="165.5" customHeight="1">
      <c r="A51" s="17" t="n">
        <v>37</v>
      </c>
      <c r="B51" s="18" t="inlineStr">
        <is>
          <t>11.2 Chi phí dừng chờ
(P413)</t>
        </is>
      </c>
      <c r="C51" s="19" t="inlineStr">
        <is>
          <t>• Thanh toán chi phí dừng chờ cho Bên B chỉ khi đồng thời đáp ứng các điều kiện: (i) việc dừng chờ do lỗi trực tiếp của Bên A; (ii) kéo dài liên tục quá 14 (mười bốn) ngày; (iii) được hai bên lập biên bản xác nhận tại hiện trường trong vòng 24 giờ kể từ khi phát sinh. Chi phí dừng chờ xác định theo số lượng thiết bị, nhân lực thực tế phải dừng, không bao gồm lợi nhuận và chi phí gián tiếp. Bên A không chịu chi phí dừng chờ do nguyên nhân từ Chủ đầu tư, Nhà thầu khác, cơ quan nhà nước, bên thứ ba hoặc sự kiện bất khả kháng, trừ phần Bên A được Chủ đầu tư bù đắp tương ứng.</t>
        </is>
      </c>
      <c r="D51" s="19" t="inlineStr">
        <is>
          <t>• Thanh toán chi phí dừng chờ cho Bên B chỉ khi đồng thời đáp ứng các điều kiện: (i) việc dừng chờ do lỗi không phải lỗi của Bên Bs; (ii) kéo dài liên tục quá 14 (mười bốn) ngày; (iii) được hai bên lập biên bản xác nhận tại hiện trường trong vòng 24 giờ kể từ khi phát sinh. Chi phí dừng chờ xác định theo số lượng thiết bị, nhân lực thực tế phải dừng, không bao gồm lợi nhuận và chi phí gián tiếp. Bên A không chịu chi phí dừng chờ do nguyên nhân từ Chủ đầu tư, Nhà thầu khác, cơ quan nhà nước, bên thứ ba hoặc sự kiện bất khả kháng, trừ phần Bên A được Chủ đầu tư bù đắp tương ứng.</t>
        </is>
      </c>
      <c r="E51" s="17" t="inlineStr">
        <is>
          <t>Sửa</t>
        </is>
      </c>
      <c r="F51" s="27" t="inlineStr">
        <is>
          <t>CAO</t>
        </is>
      </c>
      <c r="G51" s="19" t="inlineStr">
        <is>
          <t>Từ “lỗi trực tiếp của Bên A” thành “không phải lỗi của Bên B” → mở rộng sang rủi ro do CĐT, thời tiết, bên thứ ba.</t>
        </is>
      </c>
      <c r="H51" s="19" t="inlineStr">
        <is>
          <t>Tự mâu thuẫn trong cùng đoạn: điều kiện (i) mở rộng nhưng câu cuối vẫn loại trừ CĐT, Nhà thầu khác, cơ quan nhà nước, bất khả kháng. Mâu thuẫn 4.2, 9.4(v), 17.1(ii). Lỗi chữ “Bên Bs”.</t>
        </is>
      </c>
      <c r="I51" s="31" t="inlineStr">
        <is>
          <t>Khôi phục “do lỗi trực tiếp của Bên A”.</t>
        </is>
      </c>
      <c r="J51" s="19" t="inlineStr">
        <is>
          <t>“Do lỗi của Bên A hoặc Nhà thầu khác do Bên A trực tiếp thuê.”</t>
        </is>
      </c>
      <c r="K51" s="19" t="inlineStr">
        <is>
          <t>—</t>
        </is>
      </c>
      <c r="L51" s="30" t="inlineStr">
        <is>
          <t>Xử lý một phần</t>
        </is>
      </c>
      <c r="M51" s="19" t="inlineStr">
        <is>
          <t>Xóa toàn bộ đoạn dừng chờ.</t>
        </is>
      </c>
      <c r="N51" s="28" t="inlineStr">
        <is>
          <t>Giữ như EC_v1; bù bằng câu bảo vệ ở 4.2, xóa 9.4(v), sửa 17.1(ii).</t>
        </is>
      </c>
      <c r="O51" s="29" t="inlineStr">
        <is>
          <t>Ban HĐ</t>
        </is>
      </c>
      <c r="P51" s="19" t="n"/>
      <c r="Q51" s="19" t="n"/>
    </row>
    <row r="52" ht="22" customHeight="1">
      <c r="A52" s="23" t="inlineStr">
        <is>
          <t>ĐIỀU 12 – QUYỀN, NGHĨA VỤ BÊN B</t>
        </is>
      </c>
      <c r="B52" s="24" t="n"/>
      <c r="C52" s="24" t="n"/>
      <c r="D52" s="24" t="n"/>
      <c r="E52" s="24" t="n"/>
      <c r="F52" s="24" t="n"/>
      <c r="G52" s="24" t="n"/>
      <c r="H52" s="24" t="n"/>
      <c r="I52" s="24" t="n"/>
      <c r="J52" s="24" t="n"/>
      <c r="K52" s="24" t="n"/>
      <c r="L52" s="24" t="n"/>
      <c r="M52" s="24" t="n"/>
      <c r="N52" s="24" t="n"/>
      <c r="O52" s="24" t="n"/>
      <c r="P52" s="24" t="n"/>
      <c r="Q52" s="24" t="n"/>
    </row>
    <row r="53" ht="64" customHeight="1">
      <c r="A53" s="17" t="n">
        <v>38</v>
      </c>
      <c r="B53" s="18" t="inlineStr">
        <is>
          <t>12.1 Quyền Bên B (mới)
(P424)</t>
        </is>
      </c>
      <c r="C53" s="19" t="inlineStr">
        <is>
          <t>[Không có]</t>
        </is>
      </c>
      <c r="D53" s="19" t="inlineStr">
        <is>
          <t>• Chưa thực hiện các ps chưa có trong hđ khi chưa được bên A phê duyệt giá và ký phụ lục hd,</t>
        </is>
      </c>
      <c r="E53" s="17" t="inlineStr">
        <is>
          <t>Thêm mới</t>
        </is>
      </c>
      <c r="F53" s="30" t="inlineStr">
        <is>
          <t>TRUNG BÌNH</t>
        </is>
      </c>
      <c r="G53" s="19" t="inlineStr">
        <is>
          <t>Bên B có quyền từ chối làm phát sinh khi chưa ký phụ lục → có thể đình trệ công việc khẩn cấp.</t>
        </is>
      </c>
      <c r="H53" s="19" t="inlineStr">
        <is>
          <t>Viết tắt “ps”, “hđ” không phải văn phong HĐ. Trùng câu cuối 13.1(ii) do PH thêm. Mâu thuẫn 13.1 đoạn 2 (phát sinh khẩn cấp Bên B phải làm ngay – PH giữ).</t>
        </is>
      </c>
      <c r="I53" s="31" t="inlineStr">
        <is>
          <t>Thay bằng: “Từ chối thực hiện công việc phát sinh chưa có đơn giá khi chưa có yêu cầu bằng văn bản của người đại diện có thẩm quyền của Bên A, trừ công việc khẩn cấp theo Điều 13.1.” Xóa câu trùng ở 13.1(ii).</t>
        </is>
      </c>
      <c r="J53" s="33" t="inlineStr">
        <is>
          <t>Chấp nhận ý của PH nhưng hai bên ký phụ lục trong [30] ngày; Bên B không được dừng phần việc khác.</t>
        </is>
      </c>
      <c r="K53" s="19" t="inlineStr">
        <is>
          <t>—</t>
        </is>
      </c>
      <c r="L53" s="25" t="inlineStr">
        <is>
          <t>Đã xử lý</t>
        </is>
      </c>
      <c r="M53" s="19" t="inlineStr">
        <is>
          <t>Đã xóa.</t>
        </is>
      </c>
      <c r="N53" s="28" t="inlineStr">
        <is>
          <t>—</t>
        </is>
      </c>
      <c r="O53" s="29" t="inlineStr">
        <is>
          <t>Ban HĐ</t>
        </is>
      </c>
      <c r="P53" s="19" t="n"/>
      <c r="Q53" s="19" t="n"/>
    </row>
    <row r="54" ht="64" customHeight="1">
      <c r="A54" s="17" t="n">
        <v>39</v>
      </c>
      <c r="B54" s="18" t="inlineStr">
        <is>
          <t>12.2.1a Giấy phép thiết bị
(P428)</t>
        </is>
      </c>
      <c r="C54" s="19" t="inlineStr">
        <is>
          <t>• a) Bên B có nghĩa vụ tự xin cấp bằng chi phí của mình các giấy phép, giấy tờ cần thiết cho việc vận chuyển, lưu hành thiết bị theo quy định của pháp luật.</t>
        </is>
      </c>
      <c r="D54" s="19" t="inlineStr">
        <is>
          <t>• a) Bên B có nghĩa vụ tự xin cấp bằng chi phí của mình các giấy phép, giấy tờ cần thiết cho việc vận chuyển, lưu hành thiết bị phục vụ thi công của Bên B theo quy định của pháp luật.</t>
        </is>
      </c>
      <c r="E54" s="17" t="inlineStr">
        <is>
          <t>Sửa</t>
        </is>
      </c>
      <c r="F54" s="25" t="inlineStr">
        <is>
          <t>THẤP</t>
        </is>
      </c>
      <c r="G54" s="19" t="inlineStr">
        <is>
          <t>Hợp lý.</t>
        </is>
      </c>
      <c r="H54" s="19" t="inlineStr">
        <is>
          <t>—</t>
        </is>
      </c>
      <c r="I54" s="31" t="inlineStr">
        <is>
          <t>CHẤP NHẬN.</t>
        </is>
      </c>
      <c r="J54" s="19" t="inlineStr">
        <is>
          <t>—</t>
        </is>
      </c>
      <c r="K54" s="19" t="inlineStr">
        <is>
          <t>—</t>
        </is>
      </c>
      <c r="L54" s="32" t="inlineStr">
        <is>
          <t>Chấp nhận bản PH</t>
        </is>
      </c>
      <c r="M54" s="19" t="inlineStr"/>
      <c r="N54" s="28" t="inlineStr">
        <is>
          <t>Chấp nhận.</t>
        </is>
      </c>
      <c r="O54" s="29" t="inlineStr">
        <is>
          <t>Ban HĐ</t>
        </is>
      </c>
      <c r="P54" s="19" t="n"/>
      <c r="Q54" s="19" t="n"/>
    </row>
    <row r="55" ht="238" customHeight="1">
      <c r="A55" s="17" t="n">
        <v>40</v>
      </c>
      <c r="B55" s="18" t="inlineStr">
        <is>
          <t>12.2.1f Hệ cừ, quan trắc, công trình lân cận
(P433)</t>
        </is>
      </c>
      <c r="C55" s="19" t="inlineStr">
        <is>
          <t>• f) Bên B chịu trách nhiệm toàn bộ về ổn định của hệ cừ, văng chống và thành hố đào được bảo vệ bởi hệ cừ, văng chống trong suốt thời gian thi công Phần ngầm. Bên A tổ chức quan trắc chuyển vị hệ cừ, văng chống, hố đào; Bên B có trách nhiệm đề xuất yêu cầu kỹ thuật quan trắc (nếu có), tiếp nhận kết quả, theo dõi, đánh giá ổn định và kịp thời sửa chữa, gia cường, duy trì hệ chống đỡ tạm. Bên B thực hiện quan trắc công trình lân cận theo Biểu 03. Bên B chịu toàn bộ chi phí khắc phục, bồi thường khi xảy ra sự cố sạt lở, lún, nứt, hư hỏng công trình lân cận, hạ tầng kỹ thuật do lỗi của Bên B. Việc Nhà thầu khác thực hiện công tác đào đất không miễn trừ trách nhiệm của Bên B đối với hệ cừ, văng chống, trừ trường hợp Bên B chứng minh được sự cố do lỗi của Nhà thầu khác và đã thông báo bằng văn bản cho Bên A theo Điều 4.1.2</t>
        </is>
      </c>
      <c r="D55" s="19" t="inlineStr">
        <is>
          <t>• f) Bên B chịu trách nhiệm toàn bộ về ổn định của hệ cừ, văng chống và thành hố đào được bảo vệ bởi hệ cừ, văng chống trong suốt thời gian thi công Phần ngầm. Bên A tổ chức quan trắc chuyển vị hệ cừ, văng chống, hố đào; Bên B có trách nhiệm đề xuất yêu cầu kỹ thuật quan trắc (nếu có), tiếp nhận kết quả, theo dõi, đánh giá ổn định và kịp thời sửa chữa, gia cường, duy trì hệ chống đỡ tạm.</t>
        </is>
      </c>
      <c r="E55" s="17" t="inlineStr">
        <is>
          <t>Xóa câu</t>
        </is>
      </c>
      <c r="F55" s="27" t="inlineStr">
        <is>
          <t>CAO</t>
        </is>
      </c>
      <c r="G55" s="19" t="inlineStr">
        <is>
          <t>Comment của PH (“quan trắc thuộc Tổng thầu”) đúng với Ma trận, nhưng PH xóa luôn trách nhiệm bồi thường sự cố công trình lân cận do lỗi của Bên B và trách nhiệm hệ cừ khi nhà thầu đất đào.</t>
        </is>
      </c>
      <c r="H55" s="19" t="inlineStr">
        <is>
          <t>Sau khi xóa, không còn điều khoản trực tiếp về sự cố công trình lân cận (chỉ còn 12.2.1 b, c chung chung); căn cứ chấm dứt do sự cố cừ ở 17.2b cũng bị xóa. Câu dẫn chiếu “theo Điều 4.1.2” bị mất.</t>
        </is>
      </c>
      <c r="I55" s="31" t="inlineStr">
        <is>
          <t>Giữ câu đầu như PH (Bên A tổ chức quan trắc). Bỏ câu “Bên B thực hiện quan trắc công trình lân cận”. Khôi phục: “Bên B chịu toàn bộ chi phí khắc phục, bồi thường khi xảy ra sự cố sạt lở, lún, nứt, hư hỏng công trình lân cận, hạ tầng kỹ thuật do lỗi của Bên B. Việc Nhà thầu khác thực hiện đào đất không miễn trừ trách nhiệm của Bên B đối với hệ cừ, văng chống, trừ trường hợp Bên B chứng minh được sự cố do lỗi của Nhà thầu khác và đã thông báo theo Điều 4.1.2.”</t>
        </is>
      </c>
      <c r="J55" s="19" t="inlineStr">
        <is>
          <t>—</t>
        </is>
      </c>
      <c r="K55" s="19" t="inlineStr">
        <is>
          <t>Ma trận 14.10.2026</t>
        </is>
      </c>
      <c r="L55" s="30" t="inlineStr">
        <is>
          <t>Xử lý một phần</t>
        </is>
      </c>
      <c r="M55" s="19" t="inlineStr">
        <is>
          <t>Thêm câu bồi thường sự cố lân cận (thiếu chi phí khắc phục, thiếu dấu chấm).</t>
        </is>
      </c>
      <c r="N55" s="28" t="inlineStr">
        <is>
          <t>Hoàn thiện câu + trách nhiệm hệ cừ khi nhà thầu đất đào.</t>
        </is>
      </c>
      <c r="O55" s="29" t="inlineStr">
        <is>
          <t>Ban HĐ</t>
        </is>
      </c>
      <c r="P55" s="19" t="n"/>
      <c r="Q55" s="19" t="n"/>
    </row>
    <row r="56" ht="107.5" customHeight="1">
      <c r="A56" s="17" t="n">
        <v>41</v>
      </c>
      <c r="B56" s="18" t="inlineStr">
        <is>
          <t>12.2.1g Phế thải
(P434)</t>
        </is>
      </c>
      <c r="C56" s="19" t="inlineStr">
        <is>
          <t>• g) Bên B có nghĩa vụ thu gom, vận chuyển phế thải xây dựng phát sinh từ công việc của mình (bao gồm bùn, đất thải từ hạ cừ, hút nước hố móng) đến bãi đổ hợp pháp, có hồ sơ chứng minh nguồn tiếp nhận; chịu trách nhiệm pháp lý và chi phí về vận chuyển, đổ thải, vệ sinh môi trường, an toàn giao thông. Mọi khoản xử phạt, bồi thường do vi phạm của Bên B do Bên B chịu.</t>
        </is>
      </c>
      <c r="D56" s="19" t="inlineStr">
        <is>
          <t>• g) Bên B có nghĩa vụ thu gom, vận chuyển phế thải xây dựng phát sinh từ công việc của mình đến bãi đổ hợp pháp. Mọi khoản xử phạt, bồi thường do vi phạm của Bên B do Bên B chịu.</t>
        </is>
      </c>
      <c r="E56" s="17" t="inlineStr">
        <is>
          <t>Sửa</t>
        </is>
      </c>
      <c r="F56" s="30" t="inlineStr">
        <is>
          <t>TRUNG BÌNH</t>
        </is>
      </c>
      <c r="G56" s="19" t="inlineStr">
        <is>
          <t>Bỏ “bùn, đất thải từ hạ cừ, hút nước hố móng” → tranh chấp bùn khoan thuộc ai (nhà thầu đất hay Bên B).</t>
        </is>
      </c>
      <c r="H56" s="19" t="inlineStr">
        <is>
          <t>—</t>
        </is>
      </c>
      <c r="I56" s="31" t="inlineStr">
        <is>
          <t>Khôi phục cụm “(bao gồm bùn, đất thải từ hạ cừ, hút nước hố móng)” và “có hồ sơ chứng minh nguồn tiếp nhận”.</t>
        </is>
      </c>
      <c r="J56" s="19" t="inlineStr">
        <is>
          <t>Bỏ yêu cầu hồ sơ chứng minh nguồn tiếp nhận, giữ phạm vi.</t>
        </is>
      </c>
      <c r="K56" s="19" t="inlineStr">
        <is>
          <t>—</t>
        </is>
      </c>
      <c r="L56" s="27" t="inlineStr">
        <is>
          <t>Chưa xử lý</t>
        </is>
      </c>
      <c r="M56" s="19" t="inlineStr"/>
      <c r="N56" s="28" t="inlineStr">
        <is>
          <t>Khôi phục bùn, đất thải (bỏ yêu cầu hồ sơ nguồn tiếp nhận – PA lùi).</t>
        </is>
      </c>
      <c r="O56" s="29" t="inlineStr">
        <is>
          <t>Ban HĐ</t>
        </is>
      </c>
      <c r="P56" s="19" t="n"/>
      <c r="Q56" s="19" t="n"/>
    </row>
    <row r="57" ht="151" customHeight="1">
      <c r="A57" s="17" t="n">
        <v>42</v>
      </c>
      <c r="B57" s="18" t="inlineStr">
        <is>
          <t>12.2.1h Hạ mực nước ngầm; 12.2.10 Nguồn điện dự phòng
(P435, P475)</t>
        </is>
      </c>
      <c r="C57" s="19" t="inlineStr">
        <is>
          <t>• h) Bên B có nghĩa vụ vận hành liên tục hệ thống hạ mực nước ngầm, tiêu thoát nước hố móng trong suốt thời gian thi công Phần ngầm, bảo đảm hố móng không bị ngập nước, kết cấu không bị đẩy nổi; chịu toàn bộ thiệt hại phát sinh do sự cố của hệ thống này.
• Trường hợp nguồn điện do Bên A cung cấp không đủ công suất, Bên B phải tự bố trí máy phát điện đủ công suất và nhiên liệu vận hành bằng chi phí của mình. Bên B phải bố trí nguồn điện dự phòng cho hệ thống hạ mực nước ngầm, bảo đảm vận hành liên tục.</t>
        </is>
      </c>
      <c r="D57" s="19" t="inlineStr">
        <is>
          <t>• h) Bên B có nghĩa vụ vận hành liên tục hệ thống tiêu thoát nước hố móng trong suốt thời gian thi công Phần ngầm, bảo đảm hố móng không bị ngập nước, kết cấu không bị đẩy nổi; chịu toàn bộ thiệt hại phát sinh do sự cố của hệ thống này.
• [Xóa toàn bộ nội dung, chỉ để lại số mục “.”]</t>
        </is>
      </c>
      <c r="E57" s="17" t="inlineStr">
        <is>
          <t>Sửa, xóa</t>
        </is>
      </c>
      <c r="F57" s="27" t="inlineStr">
        <is>
          <t>CAO</t>
        </is>
      </c>
      <c r="G57" s="19" t="inlineStr">
        <is>
          <t>Hố đào sâu: mất nguồn dự phòng → mất điện là ngập hố, đẩy nổi kết cấu, sự cố cừ.</t>
        </is>
      </c>
      <c r="H57" s="19" t="inlineStr">
        <is>
          <t>9.3b(2) (PH giữ) ghi giá HĐ đã bao gồm “chi phí hạ mực nước ngầm, tiêu thoát nước” → Bên B đã nhận tiền nhưng xóa nghĩa vụ. 12.2.10 còn sót dấu “.”.</t>
        </is>
      </c>
      <c r="I57" s="31" t="inlineStr">
        <is>
          <t>Khôi phục nguyên văn 12.2.1h và đoạn nguồn điện dự phòng ở 12.2.10.</t>
        </is>
      </c>
      <c r="J57" s="19" t="inlineStr">
        <is>
          <t>Nếu thiết kế biện pháp được duyệt không cần hạ mực nước ngầm thì chỉ là tiêu thoát nước; nguồn dự phòng bắt buộc cho bơm hố móng và đổ bê tông khối lớn.</t>
        </is>
      </c>
      <c r="K57" s="19" t="inlineStr">
        <is>
          <t>9.3b(2)</t>
        </is>
      </c>
      <c r="L57" s="30" t="inlineStr">
        <is>
          <t>Xử lý một phần</t>
        </is>
      </c>
      <c r="M57" s="19" t="inlineStr">
        <is>
          <t>Thêm câu máy phát dự phòng (lỗi chính tả, thiếu động từ, không nói chi phí).</t>
        </is>
      </c>
      <c r="N57" s="28" t="inlineStr">
        <is>
          <t>Viết lại 12.2.10; khôi phục hạ mực nước ngầm “nếu thiết kế biện pháp yêu cầu” (PA lùi).</t>
        </is>
      </c>
      <c r="O57" s="29" t="inlineStr">
        <is>
          <t>Ban HĐ</t>
        </is>
      </c>
      <c r="P57" s="19" t="n"/>
      <c r="Q57" s="19" t="n"/>
    </row>
    <row r="58" ht="78.5" customHeight="1">
      <c r="A58" s="17" t="n">
        <v>43</v>
      </c>
      <c r="B58" s="18" t="inlineStr">
        <is>
          <t>12.2.11 Rút quân (mới)
(P483)</t>
        </is>
      </c>
      <c r="C58" s="19" t="inlineStr">
        <is>
          <t>[Không có]</t>
        </is>
      </c>
      <c r="D58" s="19" t="inlineStr">
        <is>
          <t>• Nhà thầu được chủ động giải thể, rút thiệt sau khi hoàn thành các công việc theo tiến độ được phê duyệt.</t>
        </is>
      </c>
      <c r="E58" s="17" t="inlineStr">
        <is>
          <t>Thêm mới</t>
        </is>
      </c>
      <c r="F58" s="30" t="inlineStr">
        <is>
          <t>TRUNG BÌNH</t>
        </is>
      </c>
      <c r="G58" s="19" t="inlineStr">
        <is>
          <t>Bên B tự rút khỏi công trường sau tiến độ, có thể trước khi nghiệm thu, sửa sai.</t>
        </is>
      </c>
      <c r="H58" s="19" t="inlineStr">
        <is>
          <t>Dùng “Nhà thầu” (thuật ngữ không định nghĩa – HĐ dùng “Bên B”); “rút thiệt” sai chính tả. Mâu thuẫn câu đầu cùng khoản: “Bên B không được di chuyển ra khỏi Công trường bất kỳ loại máy nào… khi chưa được Bên A chấp thuận”.</t>
        </is>
      </c>
      <c r="I58" s="31" t="inlineStr">
        <is>
          <t>Xóa. Hoặc thay: “Bên B được giải thể máy, thiết bị đối với từng phần việc đã hoàn thành, được nghiệm thu khi được Bên A chấp thuận bằng văn bản; duy trì lực lượng đến khi bàn giao và hoàn thành sửa chữa sai sót.”</t>
        </is>
      </c>
      <c r="J58" s="19" t="inlineStr">
        <is>
          <t>—</t>
        </is>
      </c>
      <c r="K58" s="19" t="inlineStr">
        <is>
          <t>—</t>
        </is>
      </c>
      <c r="L58" s="25" t="inlineStr">
        <is>
          <t>Đã xử lý</t>
        </is>
      </c>
      <c r="M58" s="19" t="inlineStr">
        <is>
          <t>Đã xóa.</t>
        </is>
      </c>
      <c r="N58" s="28" t="inlineStr">
        <is>
          <t>—</t>
        </is>
      </c>
      <c r="O58" s="29" t="inlineStr">
        <is>
          <t>Ban HĐ</t>
        </is>
      </c>
      <c r="P58" s="19" t="n"/>
      <c r="Q58" s="19" t="n"/>
    </row>
    <row r="59" ht="22" customHeight="1">
      <c r="A59" s="23" t="inlineStr">
        <is>
          <t>ĐIỀU 13 – PHÁT SINH, THAY ĐỔI</t>
        </is>
      </c>
      <c r="B59" s="24" t="n"/>
      <c r="C59" s="24" t="n"/>
      <c r="D59" s="24" t="n"/>
      <c r="E59" s="24" t="n"/>
      <c r="F59" s="24" t="n"/>
      <c r="G59" s="24" t="n"/>
      <c r="H59" s="24" t="n"/>
      <c r="I59" s="24" t="n"/>
      <c r="J59" s="24" t="n"/>
      <c r="K59" s="24" t="n"/>
      <c r="L59" s="24" t="n"/>
      <c r="M59" s="24" t="n"/>
      <c r="N59" s="24" t="n"/>
      <c r="O59" s="24" t="n"/>
      <c r="P59" s="24" t="n"/>
      <c r="Q59" s="24" t="n"/>
    </row>
    <row r="60" ht="296" customHeight="1">
      <c r="A60" s="17" t="n">
        <v>44</v>
      </c>
      <c r="B60" s="18" t="inlineStr">
        <is>
          <t>13.1 (ii), (iii)
(P503, P504)</t>
        </is>
      </c>
      <c r="C60" s="19" t="inlineStr">
        <is>
          <t>• (ii) Trường hợp khối lượng công việc phát sinh, thay đổi chưa có đơn giá trong Hợp đồng, Bên B phải đệ trình đơn giá chi tiết kèm bảng chiết tính và đầy đủ căn cứ (định mức, báo giá, hóa đơn, đơn giá công việc tương tự) để Bên A xem xét, phê duyệt; đơn giá được phê duyệt không vượt quá đơn giá Chủ đầu tư phê duyệt cho Bên A đối với công việc tương ứng sau khi trừ 15% chi phí quản lý của Bên A. Bên B nộp hồ sơ phát sinh trong vòng 07 ngày kể từ ngày nhận được yêu cầu; Bên A xem xét trong vòng 14 ngày làm việc kể từ ngày nhận đủ hồ sơ hợp lệ. Việc Bên A không có ý kiến trong thời hạn nêu trên không được coi là chấp thuận.
• (iii) Bên B không được trì hoãn công việc (kể cả công việc phát sinh, thay đổi) đã được Bên A yêu cầu hoặc chấp thuận bằng văn bản trong thời gian chờ ý kiến của Chủ đầu tư và/hoặc Bên A. Trường hợp khẩn cấp để bảo đảm an toàn công trình, con người, tài sản, Bên B phải thực hiện ngay; các bên xác nhận bằng văn bản khối lượng, đơn giá hoặc nguyên tắc xác định đơn giá trong vòng 24 giờ kể từ khi phát sinh.</t>
        </is>
      </c>
      <c r="D60" s="19" t="inlineStr">
        <is>
          <t>• (ii) Trường hợp khối lượng công việc phát sinh, thay đổi chưa có đơn giá trong Hợp đồng, Bên B phải đệ trình đơn giá chi tiết kèm bảng chiết tính và đầy đủ căn cứ (định mức, báo giá, hóa đơn, đơn giá công việc tương tự) để Bên A xem xét, phê duyệt. Bên B nộp hồ sơ phát sinh trong vòng 07 ngày kể từ ngày nhận được yêu cầu; Bên A xem xét trong vòng 07 ngày làm việc kể từ ngày nhận đủ hồ sơ hợp lệ. Việc Bên A không có ý kiến trong thời hạn nêu trên được coi là chấp thuận. Bên B chỉ triển khai thi công các hạng mục ps sau khi được bên A phê duyệt và ký phụ lục hợp đồng
• [Xóa]: (iii) Bên B không được trì hoãn công việc (kể cả công việc p…</t>
        </is>
      </c>
      <c r="E60" s="17" t="inlineStr">
        <is>
          <t>Sửa, xóa</t>
        </is>
      </c>
      <c r="F60" s="27" t="inlineStr">
        <is>
          <t>CAO</t>
        </is>
      </c>
      <c r="G60" s="19" t="inlineStr">
        <is>
          <t>Bỏ trần đơn giá (≤ giá CĐT duyệt trừ 15%) → Bên A có thể lỗ trên phát sinh. Im lặng 07 ngày làm việc = chấp thuận. Bỏ nghĩa vụ không trì hoãn và xử lý khẩn cấp.</t>
        </is>
      </c>
      <c r="H60" s="19" t="inlineStr">
        <is>
          <t>Mâu thuẫn ngay trong Điều 13: 13.2 (PH giữ) “Bên A không có nghĩa vụ thanh toán phát sinh không được người đại diện có thẩm quyền chấp thuận bằng văn bản”. Trùng 12.1 mới. 13.2 vẫn dẫn chiếu “trường hợp khẩn cấp tại Điều 13.1” nhưng (iii) đã bị xóa. Viết tắt “ps”.</t>
        </is>
      </c>
      <c r="I60" s="31" t="inlineStr">
        <is>
          <t>Khôi phục nguyên văn (ii) và (iii).</t>
        </is>
      </c>
      <c r="J60" s="33" t="inlineStr">
        <is>
          <t>Trần “không vượt đơn giá CĐT phê duyệt cho Bên A trừ [10]%”; Bên A xem xét trong [10] ngày làm việc, không áp dụng im lặng là chấp thuận; Bên B không được dừng việc trong thời gian chờ duyệt.</t>
        </is>
      </c>
      <c r="K60" s="19" t="inlineStr">
        <is>
          <t>BB thương thảo: giá mới Bên B chiết tính</t>
        </is>
      </c>
      <c r="L60" s="30" t="inlineStr">
        <is>
          <t>Xử lý một phần</t>
        </is>
      </c>
      <c r="M60" s="19" t="inlineStr">
        <is>
          <t>Xóa câu “chỉ làm sau khi ký phụ lục”; khôi phục (iii) nhưng bị cắt cụt; vẫn còn “im lặng là chấp thuận”.</t>
        </is>
      </c>
      <c r="N60" s="28" t="inlineStr">
        <is>
          <t>Trần trừ [10]%, xem xét [10] ngày làm việc, bỏ im lặng; khôi phục đủ (iii).</t>
        </is>
      </c>
      <c r="O60" s="34" t="inlineStr">
        <is>
          <t>Lãnh đạo chốt</t>
        </is>
      </c>
      <c r="P60" s="19" t="n"/>
      <c r="Q60" s="19" t="n"/>
    </row>
    <row r="61" ht="209" customHeight="1">
      <c r="A61" s="17" t="n">
        <v>45</v>
      </c>
      <c r="B61" s="18" t="inlineStr">
        <is>
          <t>13.3 Thay đổi không phải phát sinh
(P508, P509, P510)</t>
        </is>
      </c>
      <c r="C61" s="19" t="inlineStr">
        <is>
          <t>• 13.3. Các thay đổi không được coi là phát sinh
• Bên B được coi là đã nhận đủ hồ sơ, tài liệu, yêu cầu, tính chất của Dự án và hiểu rằng thiết kế, biện pháp kèm theo Hợp đồng là thiết kế, biện pháp tại thời điểm ký Hợp đồng. Thay đổi thiết kế, biện pháp theo yêu cầu của Chủ đầu tư, Tư vấn giám sát hoặc Bên A không làm thay đổi bản chất công việc của Hợp đồng không được coi là phát sinh.
• Các thay đổi không được coi là phát sinh gồm nhưng không giới hạn: thay đổi biện pháp chống đỡ hố đào, thay đổi trình tự thi công do phối hợp với Nhà thầu thi công công tác đất, thay đổi biện pháp thi công chống thấm, thay đổi phương pháp quản lý chất lượng, vệ sinh, an toàn, thay đổi tiêu chuẩn kỹ thuật vật liệu.</t>
        </is>
      </c>
      <c r="D61" s="19" t="inlineStr">
        <is>
          <t>• [Xóa]: 13.3. Các thay đổi không được coi là phát sinh
• [Xóa]: Bên B được coi là đã nhận đủ hồ sơ, tài liệu, yêu cầu, tính …
• [Xóa]: Các thay đổi không được coi là phát sinh gồm nhưng không giớ…</t>
        </is>
      </c>
      <c r="E61" s="17" t="inlineStr">
        <is>
          <t>Xóa toàn bộ</t>
        </is>
      </c>
      <c r="F61" s="27" t="inlineStr">
        <is>
          <t>CAO</t>
        </is>
      </c>
      <c r="G61" s="19" t="inlineStr">
        <is>
          <t>Mọi thay đổi biện pháp chống đỡ, trình tự phối hợp nhà thầu đất, biện pháp chống thấm đều có thể bị coi là phát sinh (kết hợp 9.4(i) và mục Gia hạn (i)).</t>
        </is>
      </c>
      <c r="H61" s="19" t="inlineStr">
        <is>
          <t>9.2 (PH giữ) vẫn ghi Bên B đã tính đủ chi phí biện pháp, phối hợp nhà thầu đất → xóa 13.3 tạo mâu thuẫn với 9.2.</t>
        </is>
      </c>
      <c r="I61" s="31" t="inlineStr">
        <is>
          <t>Khôi phục nguyên văn 13.3.</t>
        </is>
      </c>
      <c r="J61" s="19" t="inlineStr">
        <is>
          <t>Giữ danh mục; thay “thay đổi tiêu chuẩn kỹ thuật vật liệu” bằng “thay đổi vật liệu tương đương về chất lượng, giá trị”.</t>
        </is>
      </c>
      <c r="K61" s="19" t="inlineStr">
        <is>
          <t>9.2</t>
        </is>
      </c>
      <c r="L61" s="25" t="inlineStr">
        <is>
          <t>Đã xử lý</t>
        </is>
      </c>
      <c r="M61" s="19" t="inlineStr">
        <is>
          <t>Khôi phục nguyên văn.</t>
        </is>
      </c>
      <c r="N61" s="28" t="inlineStr">
        <is>
          <t>—</t>
        </is>
      </c>
      <c r="O61" s="29" t="inlineStr">
        <is>
          <t>Ban HĐ</t>
        </is>
      </c>
      <c r="P61" s="19" t="n"/>
      <c r="Q61" s="19" t="n"/>
    </row>
    <row r="62" ht="22" customHeight="1">
      <c r="A62" s="23" t="inlineStr">
        <is>
          <t>ĐIỀU 15 – ĐIỀU CHỈNH HỢP ĐỒNG</t>
        </is>
      </c>
      <c r="B62" s="24" t="n"/>
      <c r="C62" s="24" t="n"/>
      <c r="D62" s="24" t="n"/>
      <c r="E62" s="24" t="n"/>
      <c r="F62" s="24" t="n"/>
      <c r="G62" s="24" t="n"/>
      <c r="H62" s="24" t="n"/>
      <c r="I62" s="24" t="n"/>
      <c r="J62" s="24" t="n"/>
      <c r="K62" s="24" t="n"/>
      <c r="L62" s="24" t="n"/>
      <c r="M62" s="24" t="n"/>
      <c r="N62" s="24" t="n"/>
      <c r="O62" s="24" t="n"/>
      <c r="P62" s="24" t="n"/>
      <c r="Q62" s="24" t="n"/>
    </row>
    <row r="63" ht="136.5" customHeight="1">
      <c r="A63" s="17" t="n">
        <v>46</v>
      </c>
      <c r="B63" s="18" t="inlineStr">
        <is>
          <t>15.1b Gia hạn theo CĐT
(P519)</t>
        </is>
      </c>
      <c r="C63" s="19" t="inlineStr">
        <is>
          <t>• b) Trường hợp Chủ đầu tư yêu cầu rút ngắn hoặc cho phép kéo dài thời gian hoàn thành, Bên A thông báo bằng văn bản để Bên B thực hiện. Chi phí phát sinh (nếu có), trừ trường hợp do lỗi của Bên B, chỉ được xem xét trong phạm vi Chủ đầu tư chấp thuận thanh toán cho Bên A và phải được Bên A phê duyệt bằng văn bản trước khi thực hiện. Bên B chỉ được gia hạn thời gian hoàn thành trong các trường hợp và phạm vi Bên A được Chủ đầu tư chấp thuận gia hạn theo Hợp đồng thầu chính.</t>
        </is>
      </c>
      <c r="D63" s="19" t="inlineStr">
        <is>
          <t>• b) Trường hợp Chủ đầu tư yêu cầu rút ngắn hoặc cho phép kéo dài thời gian hoàn thành, Bên A thông báo bằng văn bản để Bên B thực hiện. Chi phí phát sinh (nếu có), trừ trường hợp do lỗi của Bên B, chỉ được xem xét trong phạm vi Chủ đầu tư chấp thuận thanh toán cho Bên A và phải được Bên A phê duyệt bằng văn bản trước khi thực hiện..</t>
        </is>
      </c>
      <c r="E63" s="17" t="inlineStr">
        <is>
          <t>Xóa câu</t>
        </is>
      </c>
      <c r="F63" s="27" t="inlineStr">
        <is>
          <t>CAO</t>
        </is>
      </c>
      <c r="G63" s="19" t="inlineStr">
        <is>
          <t>Bên B được gia hạn vượt phạm vi CĐT gia hạn cho Tổng thầu → Bên A bị CĐT phạt mà không phạt được Bên B.</t>
        </is>
      </c>
      <c r="H63" s="19" t="inlineStr">
        <is>
          <t>16.5 (PH giữ) vẫn quy định đúng nguyên tắc này cho bất khả kháng → không đồng bộ. Dấu “..”.</t>
        </is>
      </c>
      <c r="I63" s="31" t="inlineStr">
        <is>
          <t>Khôi phục câu cuối 15.1b.</t>
        </is>
      </c>
      <c r="J63" s="19" t="inlineStr">
        <is>
          <t>—</t>
        </is>
      </c>
      <c r="K63" s="19" t="inlineStr">
        <is>
          <t>BB thương thảo: back-to-back</t>
        </is>
      </c>
      <c r="L63" s="27" t="inlineStr">
        <is>
          <t>Chưa xử lý</t>
        </is>
      </c>
      <c r="M63" s="19" t="inlineStr"/>
      <c r="N63" s="28" t="inlineStr">
        <is>
          <t>Khôi phục giới hạn theo CĐT, dẫn chiếu 7.2 i).</t>
        </is>
      </c>
      <c r="O63" s="29" t="inlineStr">
        <is>
          <t>Ban HĐ</t>
        </is>
      </c>
      <c r="P63" s="19" t="n"/>
      <c r="Q63" s="19" t="n"/>
    </row>
    <row r="64" ht="64" customHeight="1">
      <c r="A64" s="17" t="n">
        <v>47</v>
      </c>
      <c r="B64" s="18" t="inlineStr">
        <is>
          <t>15.2 Khối lượng thanh toán
(P521)</t>
        </is>
      </c>
      <c r="C64" s="19" t="inlineStr">
        <is>
          <t>• Bên A thanh toán cho Bên B theo khối lượng thực tế hoàn thành (tăng hoặc giảm so với khối lượng tạm tính) đúng Hồ sơ thiết kế, Chỉ dẫn kỹ thuật, được Tư vấn giám sát nghiệm thu cho Bên A và được Bên A xác nhận.</t>
        </is>
      </c>
      <c r="D64" s="19" t="inlineStr">
        <is>
          <t>• Bên A thanh toán cho Bên B theo khối lượng thực tế hoàn thành (tăng hoặc giảm so với khối lượng tạm tính) đúng Hồ sơ thiết kế, Chỉ dẫn kỹ thuật được Bên A xác nhận.</t>
        </is>
      </c>
      <c r="E64" s="17" t="inlineStr">
        <is>
          <t>Sửa</t>
        </is>
      </c>
      <c r="F64" s="30" t="inlineStr">
        <is>
          <t>TRUNG BÌNH</t>
        </is>
      </c>
      <c r="G64" s="19" t="inlineStr">
        <is>
          <t>Bỏ “được TVGS nghiệm thu cho Bên A”. Comment của PH (“HĐ TVGS ký với CĐT”) không phải lý do: chính vì TVGS do CĐT thuê nên xác nhận của TVGS là căn cứ để CĐT trả tiền cho Tổng thầu.</t>
        </is>
      </c>
      <c r="H64" s="19" t="inlineStr">
        <is>
          <t>Bỏ dấu phẩy làm câu sai nghĩa (“Chỉ dẫn kỹ thuật được Bên A xác nhận”). Mâu thuẫn 10.3.2d.</t>
        </is>
      </c>
      <c r="I64" s="31" t="inlineStr">
        <is>
          <t>Khôi phục: “…đúng Hồ sơ thiết kế, Chỉ dẫn kỹ thuật, được TVGS nghiệm thu cho Bên A và được Bên A xác nhận.”</t>
        </is>
      </c>
      <c r="J64" s="19" t="inlineStr">
        <is>
          <t>—</t>
        </is>
      </c>
      <c r="K64" s="19" t="inlineStr">
        <is>
          <t>—</t>
        </is>
      </c>
      <c r="L64" s="25" t="inlineStr">
        <is>
          <t>Đã xử lý</t>
        </is>
      </c>
      <c r="M64" s="19" t="inlineStr">
        <is>
          <t>Khôi phục.</t>
        </is>
      </c>
      <c r="N64" s="28" t="inlineStr">
        <is>
          <t>—</t>
        </is>
      </c>
      <c r="O64" s="29" t="inlineStr">
        <is>
          <t>Ban HĐ</t>
        </is>
      </c>
      <c r="P64" s="19" t="n"/>
      <c r="Q64" s="19" t="n"/>
    </row>
    <row r="65" ht="22" customHeight="1">
      <c r="A65" s="23" t="inlineStr">
        <is>
          <t>ĐIỀU 17 – TẠM DỪNG, CHẤM DỨT</t>
        </is>
      </c>
      <c r="B65" s="24" t="n"/>
      <c r="C65" s="24" t="n"/>
      <c r="D65" s="24" t="n"/>
      <c r="E65" s="24" t="n"/>
      <c r="F65" s="24" t="n"/>
      <c r="G65" s="24" t="n"/>
      <c r="H65" s="24" t="n"/>
      <c r="I65" s="24" t="n"/>
      <c r="J65" s="24" t="n"/>
      <c r="K65" s="24" t="n"/>
      <c r="L65" s="24" t="n"/>
      <c r="M65" s="24" t="n"/>
      <c r="N65" s="24" t="n"/>
      <c r="O65" s="24" t="n"/>
      <c r="P65" s="24" t="n"/>
      <c r="Q65" s="24" t="n"/>
    </row>
    <row r="66" ht="122" customHeight="1">
      <c r="A66" s="17" t="n">
        <v>48</v>
      </c>
      <c r="B66" s="18" t="inlineStr">
        <is>
          <t>17.1 a(ii) Tạm dừng khách quan
(P536)</t>
        </is>
      </c>
      <c r="C66" s="19" t="inlineStr">
        <is>
          <t>• (ii) Chưa có thiết kế, mặt bằng thi công; thay đổi thiết kế; Chủ đầu tư yêu cầu dừng thi công; người dân hoặc cơ quan có thẩm quyền ngăn cản thi công; Nhà thầu khác chậm bàn giao hố đào, không do lỗi của Bên A hoặc Bên B: Bên B tạm dừng phần công việc bị ảnh hưởng và được xem xét gia hạn thời gian tương ứng; chi phí phát sinh (nếu có) chỉ được xem xét trong phạm vi Bên A được Chủ đầu tư chấp thuận bù đắp.</t>
        </is>
      </c>
      <c r="D66" s="19" t="inlineStr">
        <is>
          <t>• (ii) Chưa có thiết kế, mặt bằng thi công; thay đổi thiết kế; Chủ đầu tư yêu cầu dừng thi công; người dân hoặc cơ quan có thẩm quyền ngăn cản thi công; Nhà thầu khác chậm bàn giao hố đào, không do lỗi của Bên A hoặc Bên B: Bên B tạm dừng phần công việc bị ảnh hưởng và được xem xét gia hạn thời gian tương ứng; chi phí phát sinh (nếu có) được Bên A chấp thuận bù đắp.</t>
        </is>
      </c>
      <c r="E66" s="17" t="inlineStr">
        <is>
          <t>Sửa</t>
        </is>
      </c>
      <c r="F66" s="27" t="inlineStr">
        <is>
          <t>CAO</t>
        </is>
      </c>
      <c r="G66" s="19" t="inlineStr">
        <is>
          <t>Chi phí tạm dừng do CĐT, người dân, cơ quan nhà nước chuyển sang “được Bên A chấp thuận bù đắp” → Bên A gánh rủi ro không thu được từ CĐT.</t>
        </is>
      </c>
      <c r="H66" s="19" t="inlineStr">
        <is>
          <t>Mâu thuẫn 11.2 (không chịu dừng chờ do CĐT, cơ quan nhà nước) và 4.2.</t>
        </is>
      </c>
      <c r="I66" s="31" t="inlineStr">
        <is>
          <t>Khôi phục “chỉ được xem xét trong phạm vi Bên A được CĐT chấp thuận bù đắp”.</t>
        </is>
      </c>
      <c r="J66" s="19" t="inlineStr">
        <is>
          <t>—</t>
        </is>
      </c>
      <c r="K66" s="19" t="inlineStr">
        <is>
          <t>—</t>
        </is>
      </c>
      <c r="L66" s="27" t="inlineStr">
        <is>
          <t>Chưa xử lý</t>
        </is>
      </c>
      <c r="M66" s="19" t="inlineStr">
        <is>
          <t>Chỉ sửa khoảng trắng.</t>
        </is>
      </c>
      <c r="N66" s="28" t="inlineStr">
        <is>
          <t>Chi phí chỉ trong phạm vi CĐT bù.</t>
        </is>
      </c>
      <c r="O66" s="29" t="inlineStr">
        <is>
          <t>Ban HĐ</t>
        </is>
      </c>
      <c r="P66" s="19" t="n"/>
      <c r="Q66" s="19" t="n"/>
    </row>
    <row r="67" ht="194.5" customHeight="1">
      <c r="A67" s="17" t="n">
        <v>49</v>
      </c>
      <c r="B67" s="18" t="inlineStr">
        <is>
          <t>17.1 a(iii), b) Tạm dừng do chậm thanh toán
(P537, P539, P540)</t>
        </is>
      </c>
      <c r="C67" s="19" t="inlineStr">
        <is>
          <t>• b) Bên tạm dừng phải thông báo bằng văn bản cho bên kia ít nhất 28 ngày trước, nêu rõ lý do; trừ trường hợp bất khả kháng và trường hợp Bên A tạm dừng do Bên B vi phạm về chất lượng, an toàn lao động, bảo vệ môi trường, tiến độ (có hiệu lực ngay khi gửi thông báo). Bên tạm dừng không thông báo mà gây thiệt hại phải bồi thường cho bên bị thiệt hại.</t>
        </is>
      </c>
      <c r="D67" s="19" t="inlineStr">
        <is>
          <t>• (iii) Bên A chậm thanh toán, tạm ứng quá 07 ngày sau thời hạn thanh toán quy định trong hợp đồng.
• Bên tạm dừng phải thông báo bằng văn bản cho bên kia ít nhất 15 ngày trước (trừ trường hợp bên A chậm thanh toán), nêu rõ lý do; trừ trường hợp bất khả kháng và trường hợp Bên A tạm dừng do Bên B vi phạm về chất lượng, an toàn lao động, bảo vệ môi trường, tiến độ (có hiệu lực ngay khi gửi thông báo). Bên tạm dừng không thông báo mà gây thiệt hại phải bồi thường cho bên bị thiệt hại.
• Trường hợp thời gian kiểm tra phê duyệt hồ sơ thanh toán từ BCH công trường của Bên A quá 20 ngày kể từ ngày Bên B gửi trình hồ.</t>
        </is>
      </c>
      <c r="E67" s="17" t="inlineStr">
        <is>
          <t>Thêm, sửa</t>
        </is>
      </c>
      <c r="F67" s="27" t="inlineStr">
        <is>
          <t>CAO</t>
        </is>
      </c>
      <c r="G67" s="21" t="inlineStr">
        <is>
          <t>LẰN RANH ĐỎ. Bên B được tạm dừng khi Bên A chậm 07 ngày, không cần báo trước; hoặc khi BCH duyệt hồ sơ quá 20 ngày.</t>
        </is>
      </c>
      <c r="H67" s="19" t="inlineStr">
        <is>
          <t>P540 là câu cụt, không có hệ quả pháp lý. Mất ký hiệu “b)”. Ngưỡng 07 ngày ≠ mục Gia hạn (15 ngày làm việc) ≠ 17.2c (30 ngày). “Trừ trường hợp Bên A chậm thanh toán” → không cần thông báo trước, trái 3.6.</t>
        </is>
      </c>
      <c r="I67" s="26" t="inlineStr">
        <is>
          <t>“(iii) Bên A chậm thanh toán quá [56] ngày so với thời hạn thanh toán do lỗi của Bên A (không bao gồm trường hợp CĐT chậm thanh toán cho Bên A): Bên B được tạm dừng sau khi thông báo trước [28] ngày.” Xóa P540; khôi phục ký hiệu b).</t>
        </is>
      </c>
      <c r="J67" s="33" t="inlineStr">
        <is>
          <t>[45] ngày; thông báo trước [14] ngày.</t>
        </is>
      </c>
      <c r="K67" s="19" t="inlineStr">
        <is>
          <t>BB thương thảo: chỉ tạm dừng khi chậm &gt;56 ngày</t>
        </is>
      </c>
      <c r="L67" s="30" t="inlineStr">
        <is>
          <t>Xử lý một phần</t>
        </is>
      </c>
      <c r="M67" s="19" t="inlineStr">
        <is>
          <t>07 → 45 ngày; xóa câu BCH 20 ngày.</t>
        </is>
      </c>
      <c r="N67" s="28" t="inlineStr">
        <is>
          <t>Giữ 45 ngày; loại trừ CĐT chậm; thông báo [28] ngày; bỏ ngoại lệ không báo trước; khôi phục ký hiệu b).</t>
        </is>
      </c>
      <c r="O67" s="34" t="inlineStr">
        <is>
          <t>Lãnh đạo chốt</t>
        </is>
      </c>
      <c r="P67" s="19" t="n"/>
      <c r="Q67" s="19" t="n"/>
    </row>
    <row r="68" ht="64" customHeight="1">
      <c r="A68" s="17" t="n">
        <v>50</v>
      </c>
      <c r="B68" s="18" t="inlineStr">
        <is>
          <t>17.2a(iv) HĐ thầu chính chấm dứt
(P546)</t>
        </is>
      </c>
      <c r="C68" s="19" t="inlineStr">
        <is>
          <t>• (iv) Hợp đồng thầu chính bị chấm dứt trước thời hạn: Bên A chỉ thanh toán giá trị khối lượng đã được nghiệm thu, không chịu phạt và không bồi thường cho Bên B.</t>
        </is>
      </c>
      <c r="D68" s="19" t="inlineStr">
        <is>
          <t>• (iv) Hợp đồng thầu chính bị chấm dứt trước thời hạn: Bên A sẽ thanh toán giá trị khối lượng Bên B đã thực hiện cho Bên B.</t>
        </is>
      </c>
      <c r="E68" s="17" t="inlineStr">
        <is>
          <t>Sửa</t>
        </is>
      </c>
      <c r="F68" s="30" t="inlineStr">
        <is>
          <t>TRUNG BÌNH</t>
        </is>
      </c>
      <c r="G68" s="19" t="inlineStr">
        <is>
          <t>Bên A trả “giá trị đã thực hiện” (chưa nghiệm thu), có thể phải bồi thường.</t>
        </is>
      </c>
      <c r="H68" s="19" t="inlineStr">
        <is>
          <t>17.2d(viii) đã có cơ chế thanh toán khi Bên B chấm dứt – cần phân biệt.</t>
        </is>
      </c>
      <c r="I68" s="31" t="inlineStr">
        <is>
          <t>“…Bên A thanh toán giá trị khối lượng đã được nghiệm thu hợp lệ và vật tư đã đưa vào công trình, trong phạm vi được CĐT thanh toán tương ứng; Bên A không chịu phạt, không bồi thường, không chịu lợi nhuận dự kiến.”</t>
        </is>
      </c>
      <c r="J68" s="19" t="inlineStr">
        <is>
          <t>—</t>
        </is>
      </c>
      <c r="K68" s="19" t="inlineStr">
        <is>
          <t>—</t>
        </is>
      </c>
      <c r="L68" s="25" t="inlineStr">
        <is>
          <t>Đã xử lý</t>
        </is>
      </c>
      <c r="M68" s="19" t="inlineStr">
        <is>
          <t>Khôi phục.</t>
        </is>
      </c>
      <c r="N68" s="28" t="inlineStr">
        <is>
          <t>—</t>
        </is>
      </c>
      <c r="O68" s="29" t="inlineStr">
        <is>
          <t>Ban HĐ</t>
        </is>
      </c>
      <c r="P68" s="19" t="n"/>
      <c r="Q68" s="19" t="n"/>
    </row>
    <row r="69" ht="409" customHeight="1">
      <c r="A69" s="17" t="n">
        <v>51</v>
      </c>
      <c r="B69" s="18" t="inlineStr">
        <is>
          <t>17.2b Bên A đơn phương chấm dứt
(P552, P553, P554, P556, P559, P560, P561)</t>
        </is>
      </c>
      <c r="C69" s="19" t="inlineStr">
        <is>
          <t>• Bên B vi phạm nghĩa vụ theo Hợp đồng và đã bị Bên A nhắc nhở bằng văn bản hoặc biên bản họp đến lần thứ ba;
• Bên B không tuân theo các hướng dẫn của Bên A, Tư vấn giám sát, Chủ đầu tư hoặc liên tiếp hành động một cách bất hợp tác đối với Bên A, Tư vấn giám sát, Chủ đầu tư và các nhà thầu phụ khác của Bên A;
• Bên B thường xuyên không thực hiện các biện pháp bảo đảm an toàn lao động, an toàn giao thông, bảo vệ môi trường, phòng chống cháy nổ theo Hợp đồng sau khi đã được Bên A nhắc nhở, yêu cầu bằng văn bản hoặc trong biên bản họp đến lần thứ ba;
• Bên B chuyển nhượng Hợp đồng hoặc giao thầu lại toàn bộ hoặc một phần công việc khi chưa được Bên A chấp thuận bằng văn bản;
• Để xảy ra sự cố mất ổn định hệ cừ, văng chống, sạt lở hố đào hoặc gây hư hỏng công trình lân cận do lỗi của Bên B;
• Bên B vi phạm Hợp đồng ngoài các trường hợp liệt kê nêu trên dẫn đến việc thi công Hạng mục công trình không đáp ứng được yêu cầu của Chủ đầu tư, Tư vấn giám sát hoặc làm tổn hại tới quyền lợi, lợi ích của Bên A.
• Việc chấm dứt Hợp đồng không làm mất đi quyền lợi của Bên A được hưởng theo quy định của Hợp đồng và quy định của pháp luật. Sau khi chấm dứt Hợp đồng, Bên A có thể hoàn thành Hạng mục công trình và/hoặc sắp xếp cho các đơn vị khác thực hiện. Trong trường hợp đó, Bên A và/hoặc các đơn vị do Bên A chỉ định có thể sử dụng hợp lý các thiết bị, vật tư, tài liệu, công trình tạm của Bên B còn lại trên Công trường trong phạm vi cần thiết để bảo đảm an toàn, bảo vệ công trình và tiếp tục thi công; việc bàn giao, kiểm kê, bảo quản, sử dụng và đối trừ chi phí (nếu có) sẽ được lập biên bản và thực hiện theo quy định của Hợp đồng và pháp luật.</t>
        </is>
      </c>
      <c r="D69" s="19" t="inlineStr">
        <is>
          <t>• [Xóa]: Bên B vi phạm nghĩa vụ theo Hợp đồng và đã bị Bên A nhắc nhở…
• ;
• [Xóa]: Bên B thường xuyên không thực hiện các biện pháp bảo đảm an …
• Bên B chuyển nhượng Hợp đồng hoặc giao thầu lại toàn việc khi chưa được Bên A chấp thuận bằng văn bản;
• [Xóa]: Để xảy ra sự cố mất ổn định hệ cừ, văng chống, sạt lở hố đào…
• [Xóa]: Bên B vi phạm Hợp đồng ngoài các trường hợp liệt kê nêu trên…
• Việc chấm dứt Hợp đồng không làm mất đi quyền lợi của Bên A được hưởng theo quy định của Hợp đồng và quy định của pháp luật. Sau khi chấm dứt Hợp đồng, Bên A có thể hoàn thành Hạng mục công trình và/hoặc sắp xếp cho các đơn vị khác thực hiện..</t>
        </is>
      </c>
      <c r="E69" s="17" t="inlineStr">
        <is>
          <t>Xóa nhiều căn cứ</t>
        </is>
      </c>
      <c r="F69" s="27" t="inlineStr">
        <is>
          <t>CAO</t>
        </is>
      </c>
      <c r="G69" s="21" t="inlineStr">
        <is>
          <t>LẰN RANH ĐỎ. Mất các căn cứ: vi phạm lặp lại (3 lần nhắc), bất hợp tác, vi phạm an toàn, sự cố cừ văng, điều khoản bao trùm; mất quyền sử dụng thiết bị của Bên B để tiếp tục thi công.</t>
        </is>
      </c>
      <c r="H69" s="19" t="inlineStr">
        <is>
          <t>Còn sót dòng “;” rỗng (P553). “Giao thầu lại toàn việc” sai chính tả. Xóa quyền sử dụng thiết bị nhưng 17.2d(vii) vẫn giữ quyền kiểm kê, tạm giữ thiết bị → chồng chéo.</t>
        </is>
      </c>
      <c r="I69" s="31" t="inlineStr">
        <is>
          <t>Khôi phục toàn bộ căn cứ và quyền sử dụng thiết bị của dự thảo A.</t>
        </is>
      </c>
      <c r="J69" s="33" t="inlineStr">
        <is>
          <t>Căn cứ vi phạm lặp lại: “vi phạm nghiêm trọng nghĩa vụ… đến lần thứ ba”; sử dụng thiết bị: trả phí theo đơn giá thuê thị trường, tối đa [60] ngày.</t>
        </is>
      </c>
      <c r="K69" s="19" t="inlineStr">
        <is>
          <t>BB thương thảo: B dừng 14 ngày, chậm 45 ngày</t>
        </is>
      </c>
      <c r="L69" s="30" t="inlineStr">
        <is>
          <t>Xử lý một phần</t>
        </is>
      </c>
      <c r="M69" s="19" t="inlineStr">
        <is>
          <t>Khôi phục bất hợp tác, an toàn, sự cố cừ, quyền sử dụng thiết bị.</t>
        </is>
      </c>
      <c r="N69" s="28" t="inlineStr">
        <is>
          <t>Khôi phục thêm vi phạm lần thứ ba, điều khoản bao trùm; sửa “toàn việc”.</t>
        </is>
      </c>
      <c r="O69" s="29" t="inlineStr">
        <is>
          <t>Ban HĐ</t>
        </is>
      </c>
      <c r="P69" s="19" t="n"/>
      <c r="Q69" s="19" t="n"/>
    </row>
    <row r="70" ht="107.5" customHeight="1">
      <c r="A70" s="17" t="n">
        <v>52</v>
      </c>
      <c r="B70" s="18" t="inlineStr">
        <is>
          <t>17.2c Bên B đơn phương chấm dứt
(P563, P565, P566)</t>
        </is>
      </c>
      <c r="C70" s="19" t="inlineStr">
        <is>
          <t>• Bên B có quyền đơn phương chấm dứt Hợp đồng nhưng phải thông báo bằng văn bản trước cho Bên A tối thiểu là 28 ngày trong các trường hợp sau:
• (ii) Bên A chậm thanh toán quá 60 ngày so với thời hạn quy định tại Hợp đồng, trừ trường hợp Chủ đầu tư chậm thanh toán theo Điều 10.3.2 điểm e;</t>
        </is>
      </c>
      <c r="D70" s="19" t="inlineStr">
        <is>
          <t>• Bên B có quyền đơn phương chấm dứt Hợp đồng nhưng phải thông báo bằng văn bản trước cho Bên A tối thiểu là 15 ngày trong các trường hợp sau:
• Bên A chậm thanh toán quá 30 ngày so với thời hạn quy định tại Hợp đồng;
• Tạm dừng hợp đồng quá 30 ngày theo điều 17.1 không phải do lỗi của Bên B</t>
        </is>
      </c>
      <c r="E70" s="17" t="inlineStr">
        <is>
          <t>Sửa, thêm</t>
        </is>
      </c>
      <c r="F70" s="27" t="inlineStr">
        <is>
          <t>CAO</t>
        </is>
      </c>
      <c r="G70" s="19" t="inlineStr">
        <is>
          <t>Chấm dứt khi chậm thanh toán 30 ngày (kể cả do CĐT chậm), báo trước 15 ngày; thêm căn cứ tạm dừng quá 30 ngày.</t>
        </is>
      </c>
      <c r="H70" s="19" t="inlineStr">
        <is>
          <t>Bỏ ngoại trừ “CĐT chậm thanh toán theo Điều 10.3.2 điểm e”. Căn cứ “tạm dừng quá 30 ngày” trùng 9.4(v) → cùng sự kiện hai hậu quả (được trả chi phí VÀ được chấm dứt).</t>
        </is>
      </c>
      <c r="I70" s="26" t="inlineStr">
        <is>
          <t>“Bên A chậm thanh toán quá 60 ngày so với thời hạn quy định, trừ trường hợp CĐT chậm thanh toán cho Bên A”; thông báo trước [28] ngày; căn cứ tạm dừng: “Bên A tạm dừng toàn bộ HĐ liên tục quá [84] ngày không do lỗi của Bên B, CĐT hoặc bất khả kháng”.</t>
        </is>
      </c>
      <c r="J70" s="33" t="inlineStr">
        <is>
          <t>[45] ngày; thông báo [21] ngày.</t>
        </is>
      </c>
      <c r="K70" s="19" t="inlineStr">
        <is>
          <t>BB thương thảo: giữ 60 ngày</t>
        </is>
      </c>
      <c r="L70" s="30" t="inlineStr">
        <is>
          <t>Xử lý một phần</t>
        </is>
      </c>
      <c r="M70" s="19" t="inlineStr">
        <is>
          <t>30 → 60 ngày; tạm dừng 30 → 45 ngày.</t>
        </is>
      </c>
      <c r="N70" s="28" t="inlineStr">
        <is>
          <t>Giữ 60/45 ngày; loại trừ CĐT chậm; tạm dừng “do lỗi Bên A”; thông báo [28] ngày.</t>
        </is>
      </c>
      <c r="O70" s="34" t="inlineStr">
        <is>
          <t>Lãnh đạo chốt</t>
        </is>
      </c>
      <c r="P70" s="19" t="n"/>
      <c r="Q70" s="19" t="n"/>
    </row>
    <row r="71" ht="22" customHeight="1">
      <c r="A71" s="23" t="inlineStr">
        <is>
          <t>ĐIỀU 18, 20 – PHẠT, BẢO LÃNH</t>
        </is>
      </c>
      <c r="B71" s="24" t="n"/>
      <c r="C71" s="24" t="n"/>
      <c r="D71" s="24" t="n"/>
      <c r="E71" s="24" t="n"/>
      <c r="F71" s="24" t="n"/>
      <c r="G71" s="24" t="n"/>
      <c r="H71" s="24" t="n"/>
      <c r="I71" s="24" t="n"/>
      <c r="J71" s="24" t="n"/>
      <c r="K71" s="24" t="n"/>
      <c r="L71" s="24" t="n"/>
      <c r="M71" s="24" t="n"/>
      <c r="N71" s="24" t="n"/>
      <c r="O71" s="24" t="n"/>
      <c r="P71" s="24" t="n"/>
      <c r="Q71" s="24" t="n"/>
    </row>
    <row r="72" ht="151" customHeight="1">
      <c r="A72" s="17" t="n">
        <v>53</v>
      </c>
      <c r="B72" s="18" t="inlineStr">
        <is>
          <t>Điều 18 – Trần phạt
(P577)</t>
        </is>
      </c>
      <c r="C72" s="19" t="inlineStr">
        <is>
          <t>• Các bên thỏa thuận mức phạt và bồi thường theo Điều 86 Luật Xây dựng số 135/2025/QH15 và theo nguyên tắc back to back với Hợp đồng thầu chính. Tổng mức phạt vi phạm đối với Bên B không vượt quá 12% giá trị Hợp đồng. Việc phạt vi phạm không loại trừ nghĩa vụ bồi thường toàn bộ thiệt hại thực tế của Bên A, bao gồm các khoản Bên A bị Chủ đầu tư phạt, khấu trừ, yêu cầu bồi thường do lỗi của Bên B. Bên A có quyền thu tiền phạt, tiền bồi thường bằng cách khấu trừ vào giá trị thanh toán hoặc thu từ bảo lãnh thực hiện Hợp đồng.</t>
        </is>
      </c>
      <c r="D72" s="19" t="inlineStr">
        <is>
          <t>• Các bên thỏa thuận mức phạt và bồi thường theo Điều 86 Luật Xây dựng số 135/2025/QH15. Tổng mức phạt vi phạm đối với Bên B không vượt quá 8% giá trị Hợp đồng. Việc phạt vi phạm không loại trừ nghĩa vụ bồi thường toàn bộ thiệt hại thực tế của Bên A, bao gồm các khoản Bên A bị Chủ đầu tư phạt, khấu trừ, yêu cầu bồi thường do lỗi của Bên B. Bên A có quyền thu tiền phạt, tiền bồi thường bằng cách khấu trừ vào giá trị thanh toán hoặc thu từ bảo lãnh thực hiện Hợp đồng.</t>
        </is>
      </c>
      <c r="E72" s="17" t="inlineStr">
        <is>
          <t>Sửa</t>
        </is>
      </c>
      <c r="F72" s="27" t="inlineStr">
        <is>
          <t>CAO</t>
        </is>
      </c>
      <c r="G72" s="19" t="inlineStr">
        <is>
          <t>Trần tổng 8% = trần riêng phạt chậm tiến độ (18.3: tối đa 08%) → khi đã phạt tiến độ tối đa, mọi khoản phạt chất lượng, an toàn (Biểu 05) mất tác dụng.</t>
        </is>
      </c>
      <c r="H72" s="19" t="inlineStr">
        <is>
          <t>18.3 phạt “theo từng mốc tiến độ tại Điều 7.1” nhưng PH đã xóa mốc. Bỏ “back to back” nhưng 4.4 câu bồi hoàn vẫn giữ.</t>
        </is>
      </c>
      <c r="I72" s="31" t="inlineStr">
        <is>
          <t>Khôi phục: “…theo nguyên tắc back to back với HĐ thầu chính. Tổng mức phạt vi phạm đối với Bên B không vượt quá 12% giá trị HĐ.” Giữ câu “phạt không loại trừ bồi thường toàn bộ thiệt hại”.</t>
        </is>
      </c>
      <c r="J72" s="19" t="inlineStr">
        <is>
          <t>10%.</t>
        </is>
      </c>
      <c r="K72" s="19" t="inlineStr">
        <is>
          <t>Chuẩn công ty 12%; BB thương thảo</t>
        </is>
      </c>
      <c r="L72" s="27" t="inlineStr">
        <is>
          <t>Chưa xử lý</t>
        </is>
      </c>
      <c r="M72" s="19" t="inlineStr"/>
      <c r="N72" s="28" t="inlineStr">
        <is>
          <t>Trần [12]% + back-to-back.</t>
        </is>
      </c>
      <c r="O72" s="34" t="inlineStr">
        <is>
          <t>Lãnh đạo chốt</t>
        </is>
      </c>
      <c r="P72" s="19" t="n"/>
      <c r="Q72" s="19" t="n"/>
    </row>
    <row r="73" ht="165.5" customHeight="1">
      <c r="A73" s="17" t="n">
        <v>54</v>
      </c>
      <c r="B73" s="18" t="inlineStr">
        <is>
          <t>18.5 Phạt chậm nộp hồ sơ
(P586, P587)</t>
        </is>
      </c>
      <c r="C73" s="19" t="inlineStr">
        <is>
          <t>• 18.5. Phạt, bồi thường do chậm đệ trình, giao nộp hồ sơ, tài liệu:
• Trường hợp Bên B chậm đệ trình, giao nộp hồ sơ, tài liệu theo quy định của Hợp đồng và/hoặc thông báo của Bên A, Bên B phải chịu phạt: lần nhắc nhở bằng văn bản thứ nhất: 20.000.000 đồng (hai mươi triệu đồng); mỗi lần nhắc nhở tiếp theo: gấp 02 lần mức phạt liền kề trước đó; tổng mức phạt đối với hành vi này không vượt quá 0,05% giá trị Hợp đồng. Bên B phải bồi thường mọi thiệt hại cho Bên A, bên thứ ba (nếu có) do việc chậm trễ gây ra.</t>
        </is>
      </c>
      <c r="D73" s="19" t="inlineStr">
        <is>
          <t>• [Xóa]: 18.5. Phạt, bồi thường do chậm đệ trình, giao nộp hồ sơ, tài…
• [Xóa]: Trường hợp Bên B chậm đệ trình, giao nộp hồ sơ, tài liệu the…</t>
        </is>
      </c>
      <c r="E73" s="17" t="inlineStr">
        <is>
          <t>Xóa</t>
        </is>
      </c>
      <c r="F73" s="30" t="inlineStr">
        <is>
          <t>TRUNG BÌNH</t>
        </is>
      </c>
      <c r="G73" s="19" t="inlineStr">
        <is>
          <t>Mất công cụ đốc thúc hồ sơ (trần chỉ 0,05% GTHĐ – không đáng kể với PH).</t>
        </is>
      </c>
      <c r="H73" s="19" t="inlineStr">
        <is>
          <t>Đánh số nhảy 18.4 → 18.6.</t>
        </is>
      </c>
      <c r="I73" s="31" t="inlineStr">
        <is>
          <t>Khôi phục nguyên văn 18.5.</t>
        </is>
      </c>
      <c r="J73" s="19" t="inlineStr">
        <is>
          <t>Mức 10.000.000 đ lần đầu, tổng ≤ 0,05% GTHĐ.</t>
        </is>
      </c>
      <c r="K73" s="19" t="inlineStr">
        <is>
          <t>—</t>
        </is>
      </c>
      <c r="L73" s="27" t="inlineStr">
        <is>
          <t>Chưa xử lý</t>
        </is>
      </c>
      <c r="M73" s="19" t="inlineStr"/>
      <c r="N73" s="28" t="inlineStr">
        <is>
          <t>Khôi phục, mức 10 triệu đồng (PA lùi).</t>
        </is>
      </c>
      <c r="O73" s="29" t="inlineStr">
        <is>
          <t>Ban HĐ</t>
        </is>
      </c>
      <c r="P73" s="19" t="n"/>
      <c r="Q73" s="19" t="n"/>
    </row>
    <row r="74" ht="180" customHeight="1">
      <c r="A74" s="17" t="n">
        <v>55</v>
      </c>
      <c r="B74" s="18" t="inlineStr">
        <is>
          <t>20.4 Bảo lãnh thanh toán (mới)
(P620, P621, P622, P623)</t>
        </is>
      </c>
      <c r="C74" s="19" t="inlineStr">
        <is>
          <t>[Không có]</t>
        </is>
      </c>
      <c r="D74" s="19" t="inlineStr">
        <is>
          <t>• 20.4. Bảo lãnh thanh toán:
• Trong vòng 20 ngày sau khi ký kết hợp đồng, Bên A sẽ cung cấp cho Bên B chứng thư bảo lãnh thanh toán của hợp đồng với giá trị được bảo lãnh tương ứng với số tiền bằng 15% giá trị hợp đồng
• Hình thức bảo lãnh: Bảo lãnh vô điều kiện, không hủy ngang của Ngân hàng thương mại trong nước được Bên A chấp thuận (Vietcombank, Vietinbank, BIDV, Agribank hoặc ACB, TPBank chi nhánh Hà Nội), theo mẫu bên A chấp thuận đính kèm tại Biểu 06 của hợp đồng này.
• Hiệu lực của Bảo lãnh thanh toán: Từ thời điểm phát hành đến thời điểm phê duyệt quyết toán hợp đồng này.</t>
        </is>
      </c>
      <c r="E74" s="17" t="inlineStr">
        <is>
          <t>Thêm mới</t>
        </is>
      </c>
      <c r="F74" s="27" t="inlineStr">
        <is>
          <t>CAO</t>
        </is>
      </c>
      <c r="G74" s="21" t="inlineStr">
        <is>
          <t>LẰN RANH ĐỎ. Bên A phải mở bảo lãnh ~32 tỷ trong 20 ngày, chiếm hạn mức tín dụng và chịu phí; HĐ thầu chính không có bảo lãnh thanh toán tương ứng của CĐT.</t>
        </is>
      </c>
      <c r="H74" s="19" t="inlineStr">
        <is>
          <t>Copy nguyên mẫu bảo lãnh của Bên B: “Ngân hàng được Bên A chấp thuận”, “theo mẫu Bên A chấp thuận tại Biểu 06” (Biểu 06 là mẫu bảo lãnh của Bên B) → vô lý về chủ thể.</t>
        </is>
      </c>
      <c r="I74" s="31" t="inlineStr">
        <is>
          <t>XÓA TOÀN BỘ.</t>
        </is>
      </c>
      <c r="J74" s="19" t="inlineStr">
        <is>
          <t>Không có phương án lùi (BB thương thảo không đồng ý). Có thể cam kết: Bên A thông báo cho Bên B khi CĐT thanh toán phần tương ứng (minh bạch dòng tiền).</t>
        </is>
      </c>
      <c r="K74" s="19" t="inlineStr">
        <is>
          <t>BB thương thảo</t>
        </is>
      </c>
      <c r="L74" s="27" t="inlineStr">
        <is>
          <t>Chưa xử lý</t>
        </is>
      </c>
      <c r="M74" s="19" t="inlineStr"/>
      <c r="N74" s="28" t="inlineStr">
        <is>
          <t>Xóa toàn bộ.</t>
        </is>
      </c>
      <c r="O74" s="34" t="inlineStr">
        <is>
          <t>Lãnh đạo chốt</t>
        </is>
      </c>
      <c r="P74" s="19" t="n"/>
      <c r="Q74" s="19" t="n"/>
    </row>
    <row r="75" ht="22" customHeight="1">
      <c r="A75" s="23" t="inlineStr">
        <is>
          <t>BIỂU, MA TRẬN</t>
        </is>
      </c>
      <c r="B75" s="24" t="n"/>
      <c r="C75" s="24" t="n"/>
      <c r="D75" s="24" t="n"/>
      <c r="E75" s="24" t="n"/>
      <c r="F75" s="24" t="n"/>
      <c r="G75" s="24" t="n"/>
      <c r="H75" s="24" t="n"/>
      <c r="I75" s="24" t="n"/>
      <c r="J75" s="24" t="n"/>
      <c r="K75" s="24" t="n"/>
      <c r="L75" s="24" t="n"/>
      <c r="M75" s="24" t="n"/>
      <c r="N75" s="24" t="n"/>
      <c r="O75" s="24" t="n"/>
      <c r="P75" s="24" t="n"/>
      <c r="Q75" s="24" t="n"/>
    </row>
    <row r="76" ht="64" customHeight="1">
      <c r="A76" s="17" t="n">
        <v>56</v>
      </c>
      <c r="B76" s="18" t="inlineStr">
        <is>
          <t>Biểu 01, Ma trận
(P1723, P1801, P1811)</t>
        </is>
      </c>
      <c r="C76" s="19" t="inlineStr">
        <is>
          <t>• (Kèm theo hợp đồng số……..…/2026/HĐ/YS/BXD ngày……tháng……năm 2026)</t>
        </is>
      </c>
      <c r="D76" s="19" t="inlineStr">
        <is>
          <t>• [Giữ nguyên]
► Comment PH: ĐỀ XUẤT THEO BẢNG EXCEL RIÊNG
• Làm rõ cdt
• Phối hợp cung cấp hs</t>
        </is>
      </c>
      <c r="E76" s="17" t="inlineStr">
        <is>
          <t>Comment, ghi chú</t>
        </is>
      </c>
      <c r="F76" s="30" t="inlineStr">
        <is>
          <t>TRUNG BÌNH</t>
        </is>
      </c>
      <c r="G76" s="19" t="inlineStr">
        <is>
          <t>Phạm vi giá chưa chốt; còn ghi chú mở trong hồ sơ ký.</t>
        </is>
      </c>
      <c r="H76" s="19" t="inlineStr">
        <is>
          <t>Bảng BOQ trong bản PH là số cũ; ghi chú “Làm rõ cdt”, “Phối hợp cung cấp hs” viết tắt, chen vào Ma trận.</t>
        </is>
      </c>
      <c r="I76" s="31" t="inlineStr">
        <is>
          <t>Dùng Biểu 01 bản 15.10.2026 làm căn cứ duy nhất. PH trả lời bằng văn bản các điểm “làm rõ” và ký xác nhận trước ngày ký HĐ; xóa toàn bộ ghi chú trong hồ sơ ký.</t>
        </is>
      </c>
      <c r="J76" s="19" t="inlineStr">
        <is>
          <t>—</t>
        </is>
      </c>
      <c r="K76" s="19" t="inlineStr">
        <is>
          <t>Biểu 01 15.10.2026</t>
        </is>
      </c>
      <c r="L76" s="27" t="inlineStr">
        <is>
          <t>Chưa xử lý</t>
        </is>
      </c>
      <c r="M76" s="19" t="inlineStr"/>
      <c r="N76" s="28" t="inlineStr">
        <is>
          <t>Thống nhất số HĐ ở 05 Biểu; Biểu 01 dùng bản 15.10.2026.</t>
        </is>
      </c>
      <c r="O76" s="29" t="inlineStr">
        <is>
          <t>Ban HĐ</t>
        </is>
      </c>
      <c r="P76" s="19" t="n"/>
      <c r="Q76" s="19" t="n"/>
    </row>
  </sheetData>
  <autoFilter ref="A4:Q76"/>
  <mergeCells count="18">
    <mergeCell ref="A75:Q75"/>
    <mergeCell ref="A9:Q9"/>
    <mergeCell ref="A71:Q71"/>
    <mergeCell ref="A30:Q30"/>
    <mergeCell ref="A59:Q59"/>
    <mergeCell ref="A48:Q48"/>
    <mergeCell ref="A62:Q62"/>
    <mergeCell ref="A24:Q24"/>
    <mergeCell ref="A2:Q2"/>
    <mergeCell ref="A65:Q65"/>
    <mergeCell ref="A15:Q15"/>
    <mergeCell ref="A33:Q33"/>
    <mergeCell ref="A52:Q52"/>
    <mergeCell ref="A19:Q19"/>
    <mergeCell ref="A11:Q11"/>
    <mergeCell ref="A1:Q1"/>
    <mergeCell ref="A37:Q37"/>
    <mergeCell ref="A5:Q5"/>
  </mergeCells>
  <dataValidations count="1">
    <dataValidation sqref="P6 P7 P8 P10 P12 P13 P14 P16 P17 P18 P20 P21 P22 P23 P25 P26 P27 P28 P29 P31 P32 P34 P35 P36 P38 P39 P40 P41 P42 P43 P44 P45 P46 P47 P49 P50 P51 P53 P54 P55 P56 P57 P58 P60 P61 P63 P64 P66 P67 P68 P69 P70 P72 P73 P74 P76" showDropDown="0" showInputMessage="0" showErrorMessage="0" allowBlank="1" type="list">
      <formula1>"Giữ bản Word,Dùng PA lùi,Chấp nhận bản PH,Phương án khác"</formula1>
    </dataValidation>
  </dataValidation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G3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30" customWidth="1" min="3" max="3"/>
    <col width="12" customWidth="1" min="4" max="4"/>
    <col width="60" customWidth="1" min="5" max="5"/>
    <col width="40" customWidth="1" min="6" max="6"/>
    <col width="50" customWidth="1" min="7" max="7"/>
  </cols>
  <sheetData>
    <row r="1">
      <c r="A1" s="1" t="inlineStr">
        <is>
          <t>DANH MỤC TRÙNG LẶP, MÂU THUẪN, LỖI KỸ THUẬT TRONG BẢN SỬA ĐỔI CỦA PHỤC HƯNG</t>
        </is>
      </c>
    </row>
    <row r="2" ht="42" customHeight="1">
      <c r="A2" s="22" t="inlineStr">
        <is>
          <t>PH thêm, xóa cục bộ nhưng không rà các điều liên quan, nên cùng một vấn đề bị quy định ở nhiều chỗ với kết quả khác nhau. Khi tranh chấp, điều khoản không rõ ràng được giải thích theo hướng bất lợi cho bên soạn thảo (Điều 404 BLDS 2015) – Bên A là bên soạn thảo gốc nên phải tự làm sạch trước khi ký. Các dòng “Dự thảo A” là lỗi sẵn có trong bản của Bên A, cần tự sửa.</t>
        </is>
      </c>
    </row>
    <row r="4" ht="30" customHeight="1">
      <c r="A4" s="16" t="inlineStr">
        <is>
          <t>STT</t>
        </is>
      </c>
      <c r="B4" s="16" t="inlineStr">
        <is>
          <t>Vấn đề</t>
        </is>
      </c>
      <c r="C4" s="16" t="inlineStr">
        <is>
          <t>Các điều liên quan</t>
        </is>
      </c>
      <c r="D4" s="16" t="inlineStr">
        <is>
          <t>Nguồn lỗi</t>
        </is>
      </c>
      <c r="E4" s="16" t="inlineStr">
        <is>
          <t>Mô tả trùng lặp / mâu thuẫn</t>
        </is>
      </c>
      <c r="F4" s="16" t="inlineStr">
        <is>
          <t>Hệ quả pháp lý với Bên A</t>
        </is>
      </c>
      <c r="G4" s="16" t="inlineStr">
        <is>
          <t>Cách xử lý đề xuất</t>
        </is>
      </c>
    </row>
    <row r="5" ht="78.5" customHeight="1">
      <c r="A5" s="17" t="n">
        <v>1</v>
      </c>
      <c r="B5" s="18" t="inlineStr">
        <is>
          <t>Chi phí dừng chờ khi Nhà thầu khác, CĐT gây chậm</t>
        </is>
      </c>
      <c r="C5" s="19" t="inlineStr">
        <is>
          <t>4.2 (đoạn cuối 4.1.2); 9.4(v); 11.2; 17.1(ii); 17.2c</t>
        </is>
      </c>
      <c r="D5" s="17" t="inlineStr">
        <is>
          <t>PH</t>
        </is>
      </c>
      <c r="E5" s="19" t="inlineStr">
        <is>
          <t>4.2: Bên A trả TOÀN BỘ chi phí dừng chờ do nhà thầu khác. 11.2: trả khi “không phải lỗi Bên B”, quá 14 ngày, nhưng câu cuối lại loại trừ CĐT, Nhà thầu khác, cơ quan nhà nước. 9.4(v): tạm dừng ≥30 ngày được trả nhân công, máy. 17.1(ii): chi phí “được Bên A chấp thuận bù đắp”. 17.2c: tạm dừng &gt;30 ngày được chấm dứt HĐ.</t>
        </is>
      </c>
      <c r="F5" s="19" t="inlineStr">
        <is>
          <t>Năm quy định cho một sự kiện. Khi tranh chấp, theo nguyên tắc giải thích hợp đồng có lợi cho bên không soạn thảo (Đ404 BLDS), PH chọn điều có lợi nhất cho mình.</t>
        </is>
      </c>
      <c r="G5" s="18" t="inlineStr">
        <is>
          <t>Chỉ giữ 01 điều gốc là 11.2 (bản A: lỗi trực tiếp của Bên A, quá 14 ngày, biên bản trong 24 giờ, trừ phần CĐT bù). 4.2 và 17.1(ii) dẫn chiếu về 11.2; xóa 9.4(v); 17.2c dùng ngưỡng 84 ngày.</t>
        </is>
      </c>
    </row>
    <row r="6" ht="49.5" customHeight="1">
      <c r="A6" s="17" t="n">
        <v>2</v>
      </c>
      <c r="B6" s="18" t="inlineStr">
        <is>
          <t>Gia hạn thời gian hoàn thành</t>
        </is>
      </c>
      <c r="C6" s="19" t="inlineStr">
        <is>
          <t>Mục “Gia hạn” mới; 4.2; 15.1b; 16.5; 17.1(ii)</t>
        </is>
      </c>
      <c r="D6" s="17" t="inlineStr">
        <is>
          <t>PH</t>
        </is>
      </c>
      <c r="E6" s="19" t="inlineStr">
        <is>
          <t>Mục mới: Bên B “được phép gia hạn” 8 căn cứ, không giới hạn theo CĐT. 15.1b: PH xóa câu giới hạn theo CĐT. 16.5: vẫn giới hạn theo CĐT (bất khả kháng). 4.2, 17.1(ii): “được xem xét gia hạn”.</t>
        </is>
      </c>
      <c r="F6" s="19" t="inlineStr">
        <is>
          <t>Bất khả kháng vừa bị giới hạn (16.5) vừa không (mục mới) → mâu thuẫn trực tiếp.</t>
        </is>
      </c>
      <c r="G6" s="18" t="inlineStr">
        <is>
          <t>Một khoản duy nhất 7.4 (3 căn cứ, thông báo 07 ngày, không vượt phần CĐT gia hạn). Các điều khác chỉ dẫn chiếu “theo Điều 7.4”.</t>
        </is>
      </c>
    </row>
    <row r="7" ht="49.5" customHeight="1">
      <c r="A7" s="17" t="n">
        <v>3</v>
      </c>
      <c r="B7" s="18" t="inlineStr">
        <is>
          <t>Ngưỡng chậm thanh toán</t>
        </is>
      </c>
      <c r="C7" s="19" t="inlineStr">
        <is>
          <t>10.4 mới; mục Gia hạn; 17.1(iii); 17.2c; P380 (bị xóa)</t>
        </is>
      </c>
      <c r="D7" s="17" t="inlineStr">
        <is>
          <t>PH</t>
        </is>
      </c>
      <c r="E7" s="19" t="inlineStr">
        <is>
          <t>Lãi: tính từ ngày đầu tiên. Gia hạn: quá 15 ngày làm việc. Tạm dừng: quá 07 ngày, không báo trước. Chấm dứt: quá 30 ngày. Câu “CĐT chậm thì lùi tương ứng” bị xóa.</t>
        </is>
      </c>
      <c r="F7" s="19" t="inlineStr">
        <is>
          <t>Bốn ngưỡng cho cùng một hành vi; ngưỡng tạm dừng (07 ngày) thấp hơn ngưỡng gia hạn (15 ngày làm việc) → vô lý.</t>
        </is>
      </c>
      <c r="G7" s="18" t="inlineStr">
        <is>
          <t>Lãi: chậm quá 14 ngày do lỗi Bên A. Không gia hạn tiến độ. Tạm dừng: quá 56 ngày, báo trước 28 ngày. Chấm dứt: quá 60 ngày. Mọi ngưỡng loại trừ trường hợp CĐT chậm trả.</t>
        </is>
      </c>
    </row>
    <row r="8" ht="49.5" customHeight="1">
      <c r="A8" s="17" t="n">
        <v>4</v>
      </c>
      <c r="B8" s="18" t="inlineStr">
        <is>
          <t>Thời hạn xác nhận hồ sơ và thanh toán đợt</t>
        </is>
      </c>
      <c r="C8" s="19" t="inlineStr">
        <is>
          <t>P330; P331; 10.3.2e (P379); 17.1 (P540)</t>
        </is>
      </c>
      <c r="D8" s="17" t="inlineStr">
        <is>
          <t>PH</t>
        </is>
      </c>
      <c r="E8" s="19" t="inlineStr">
        <is>
          <t>P330: 15 ngày xem xét + 15 ngày phản hồi, im lặng = duyệt. P331: thanh toán 07 ngày làm việc sau duyệt. 10.3.2e: 14 ngày kể từ nhận hồ sơ. P540: BCH duyệt quá 20 ngày (câu cụt).</t>
        </is>
      </c>
      <c r="F8" s="19" t="inlineStr">
        <is>
          <t>Không xác định được thời hạn thanh toán thực tế → Bên A luôn có nguy cơ bị coi là chậm.</t>
        </is>
      </c>
      <c r="G8" s="18" t="inlineStr">
        <is>
          <t>Một thời hạn duy nhất tại 10.3.2e: xem xét back-to-back với TVGS/CĐT; thanh toán 14 ngày sau khi hồ sơ được xác nhận; không có cơ chế im lặng. Xóa P330, P331, P540.</t>
        </is>
      </c>
    </row>
    <row r="9" ht="49.5" customHeight="1">
      <c r="A9" s="17" t="n">
        <v>5</v>
      </c>
      <c r="B9" s="18" t="inlineStr">
        <is>
          <t>Thời hạn quyết toán</t>
        </is>
      </c>
      <c r="C9" s="19" t="inlineStr">
        <is>
          <t>Điểm c 10.3.2 (P337); P338; P364; 19.1(iii); 10.3.2e (P379)</t>
        </is>
      </c>
      <c r="D9" s="17" t="inlineStr">
        <is>
          <t>PH + dự thảo A</t>
        </is>
      </c>
      <c r="E9" s="19" t="inlineStr">
        <is>
          <t>Sau khi CĐT phê duyệt quyết toán (P337); 30 ngày xem xét (P338); đoạn P364 lặp nguyên văn P338; 28 ngày ký quyết toán (19.1iii); trả tiền 14 ngày từ nhận hồ sơ (P379).</t>
        </is>
      </c>
      <c r="F9" s="19" t="inlineStr">
        <is>
          <t>Trả tiền trước khi hết thời hạn xem xét; pay-when-paid bị vô hiệu.</t>
        </is>
      </c>
      <c r="G9" s="18" t="inlineStr">
        <is>
          <t>Giữ P337 + P338; xóa P364 (lặp); 19.1(iii) = 30 ngày; thanh toán 14 ngày kể từ khi CĐT thanh toán quyết toán cho Bên A.</t>
        </is>
      </c>
    </row>
    <row r="10" ht="64" customHeight="1">
      <c r="A10" s="17" t="n">
        <v>6</v>
      </c>
      <c r="B10" s="18" t="inlineStr">
        <is>
          <t>Vai trò TVGS, CĐT trong xác nhận khối lượng</t>
        </is>
      </c>
      <c r="C10" s="19" t="inlineStr">
        <is>
          <t>10.3.2a (P319); ghi chú hồ sơ QT (P346); 15.2 (P521) – bị bỏ; 10.3.2d (P376–P377); P333; 4.3; 12.2.15 – vẫn giữ</t>
        </is>
      </c>
      <c r="D10" s="17" t="inlineStr">
        <is>
          <t>PH</t>
        </is>
      </c>
      <c r="E10" s="19" t="inlineStr">
        <is>
          <t>Ba chỗ bỏ TVGS/CĐT, bốn chỗ vẫn giữ TVGS/CĐT làm căn cứ khối lượng, chỉ dẫn.</t>
        </is>
      </c>
      <c r="F10" s="19" t="inlineStr">
        <is>
          <t>Khi CĐT cắt khối lượng, PH viện dẫn điều đã bỏ TVGS để đòi Bên A trả đủ.</t>
        </is>
      </c>
      <c r="G10" s="18" t="inlineStr">
        <is>
          <t>Khôi phục TVGS/CĐT ở cả 3 chỗ; giữ 10.3.2d làm nguyên tắc “không vượt khối lượng CĐT nghiệm thu”.</t>
        </is>
      </c>
    </row>
    <row r="11" ht="64" customHeight="1">
      <c r="A11" s="17" t="n">
        <v>7</v>
      </c>
      <c r="B11" s="18" t="inlineStr">
        <is>
          <t>Cơ chế phát sinh và đơn giá mới</t>
        </is>
      </c>
      <c r="C11" s="19" t="inlineStr">
        <is>
          <t>9.4 c); 10.3.2a (P321); 12.1 mới; 13.1(ii); 13.2; mục Gia hạn (chậm duyệt đơn giá)</t>
        </is>
      </c>
      <c r="D11" s="17" t="inlineStr">
        <is>
          <t>PH</t>
        </is>
      </c>
      <c r="E11" s="19" t="inlineStr">
        <is>
          <t>9.4c: đơn giá mới “theo thỏa thuận”. 13.1(ii): Bên B chiết tính, Bên A duyệt 07 ngày làm việc, im lặng = chấp thuận. 13.2: chỉ trả khi được chấp thuận bằng văn bản. 12.1 + 13.1(ii): Bên B chỉ làm sau khi ký phụ lục (trùng 2 lần). 10.3.2a: phụ lục không cần CĐT duyệt.</t>
        </is>
      </c>
      <c r="F11" s="19" t="inlineStr">
        <is>
          <t>Ba cơ chế xác định giá; im lặng = chấp thuận mâu thuẫn 13.2; Bên B vừa được từ chối làm vừa được gia hạn vì chậm duyệt giá.</t>
        </is>
      </c>
      <c r="G11" s="18" t="inlineStr">
        <is>
          <t>Chỉ Điều 13 quy định phát sinh (bản A: chiết tính, trần giá, 14 ngày, không im lặng, không trì hoãn). Xóa 9.4c, 12.1 mới; 10.3.2a dẫn chiếu Điều 13.</t>
        </is>
      </c>
    </row>
    <row r="12" ht="49.5" customHeight="1">
      <c r="A12" s="17" t="n">
        <v>8</v>
      </c>
      <c r="B12" s="18" t="inlineStr">
        <is>
          <t>Quyền tự thực hiện, thuê nhà thầu khác và khấu trừ</t>
        </is>
      </c>
      <c r="C12" s="19" t="inlineStr">
        <is>
          <t>3.5 (xóa); 6.3b; 7.3c (trần 20%); 9.4(iv); 10.6; 10.10; 12.2.11; 12.2.12</t>
        </is>
      </c>
      <c r="D12" s="17" t="inlineStr">
        <is>
          <t>PH</t>
        </is>
      </c>
      <c r="E12" s="19" t="inlineStr">
        <is>
          <t>Tám chỗ quy định quyền này, chỉ 7.3c có trần chi phí (viết sai: ≤20% đơn giá); điều gốc 3.5 bị xóa.</t>
        </is>
      </c>
      <c r="F12" s="19" t="inlineStr">
        <is>
          <t>PH sẽ viện dẫn trần 20% của 7.3c cho mọi trường hợp khấu trừ.</t>
        </is>
      </c>
      <c r="G12" s="18" t="inlineStr">
        <is>
          <t>Khôi phục 3.5 làm điều gốc; các điều khác dẫn chiếu “khấu trừ theo Điều 3.5”; bỏ trần ở 7.3c; xóa 9.4(iv).</t>
        </is>
      </c>
    </row>
    <row r="13" ht="35" customHeight="1">
      <c r="A13" s="17" t="n">
        <v>9</v>
      </c>
      <c r="B13" s="18" t="inlineStr">
        <is>
          <t>Quyền điều chỉnh, giảm phạm vi</t>
        </is>
      </c>
      <c r="C13" s="19" t="inlineStr">
        <is>
          <t>4.1.1 (xóa); 11.1 (giữ); 9.4 b(ii) (mới)</t>
        </is>
      </c>
      <c r="D13" s="17" t="inlineStr">
        <is>
          <t>PH</t>
        </is>
      </c>
      <c r="E13" s="19" t="inlineStr">
        <is>
          <t>11.1: Bên A được điều chỉnh phạm vi, không bồi thường. 9.4: cắt giảm “ảnh hưởng lớn” phải được hai bên thống nhất.</t>
        </is>
      </c>
      <c r="F13" s="19" t="inlineStr">
        <is>
          <t>“Ảnh hưởng lớn” không định lượng → mọi lần giảm phạm vi đều tranh chấp.</t>
        </is>
      </c>
      <c r="G13" s="35" t="inlineStr">
        <is>
          <t>Khôi phục 4.1.1; xóa 9.4; nếu cần nhượng bộ thì định lượng ngưỡng [20]% tại 4.1.1.</t>
        </is>
      </c>
    </row>
    <row r="14" ht="49.5" customHeight="1">
      <c r="A14" s="17" t="n">
        <v>10</v>
      </c>
      <c r="B14" s="18" t="inlineStr">
        <is>
          <t>Điều chỉnh giá</t>
        </is>
      </c>
      <c r="C14" s="19" t="inlineStr">
        <is>
          <t>9.1 câu 1; 9.1 câu 2; 9.4</t>
        </is>
      </c>
      <c r="D14" s="17" t="inlineStr">
        <is>
          <t>PH</t>
        </is>
      </c>
      <c r="E14" s="19" t="inlineStr">
        <is>
          <t>9.1 câu 1: cố định trừ 9.4. 9.1 câu 2: chỉ điều chỉnh khi pháp luật bắt buộc hoặc CĐT chấp thuận, không vượt mức CĐT. 9.4: công thức ±5% độc lập với CĐT.</t>
        </is>
      </c>
      <c r="F14" s="19" t="inlineStr">
        <is>
          <t>Hai cơ chế ngược nhau trong cùng một điều.</t>
        </is>
      </c>
      <c r="G14" s="18" t="inlineStr">
        <is>
          <t>Xóa ngoại lệ ở câu 1 và toàn bộ 9.4; giữ câu 2.</t>
        </is>
      </c>
    </row>
    <row r="15" ht="35" customHeight="1">
      <c r="A15" s="17" t="n">
        <v>11</v>
      </c>
      <c r="B15" s="18" t="inlineStr">
        <is>
          <t>Mốc tiến độ và phạt</t>
        </is>
      </c>
      <c r="C15" s="19" t="inlineStr">
        <is>
          <t>7.1a; 7.2f; 7.3a; 18.3; 17.2b(iii)</t>
        </is>
      </c>
      <c r="D15" s="17" t="inlineStr">
        <is>
          <t>PH</t>
        </is>
      </c>
      <c r="E15" s="19" t="inlineStr">
        <is>
          <t>Mốc đã bị xóa nhưng 5 điều vẫn dẫn chiếu “mốc tiến độ tại Điều 7.1”.</t>
        </is>
      </c>
      <c r="F15" s="19" t="inlineStr">
        <is>
          <t>Không thể phạt theo mốc; chỉ phạt được khi chậm tổng – mà ngày bắt đầu lại treo điều kiện.</t>
        </is>
      </c>
      <c r="G15" s="18" t="inlineStr">
        <is>
          <t>Khôi phục mốc tại 7.1 khớp mốc HĐ thầu chính.</t>
        </is>
      </c>
    </row>
    <row r="16" ht="49.5" customHeight="1">
      <c r="A16" s="17" t="n">
        <v>12</v>
      </c>
      <c r="B16" s="18" t="inlineStr">
        <is>
          <t>Bàn giao mặt bằng</t>
        </is>
      </c>
      <c r="C16" s="19" t="inlineStr">
        <is>
          <t>7.2 (ngày bắt đầu); 11.2; 4.1.2(iv)</t>
        </is>
      </c>
      <c r="D16" s="17" t="inlineStr">
        <is>
          <t>PH</t>
        </is>
      </c>
      <c r="E16" s="19" t="inlineStr">
        <is>
          <t>7.2: “bàn giao toàn bộ mặt bằng” là điều kiện ngày bắt đầu. 11.2: “toàn bộ mặt bằng… hố đào theo từng giai đoạn”. 4.1.2(iv): nhận hố móng từng đợt từ nhà thầu đất.</t>
        </is>
      </c>
      <c r="F16" s="19" t="inlineStr">
        <is>
          <t>Điều kiện không thể đáp ứng đồng thời → ngày bắt đầu không bao giờ xác định.</t>
        </is>
      </c>
      <c r="G16" s="18" t="inlineStr">
        <is>
          <t>Ngày bắt đầu = ngày ký HĐ; 11.2 khôi phục “toàn bộ hoặc từng phần”.</t>
        </is>
      </c>
    </row>
    <row r="17" ht="35" customHeight="1">
      <c r="A17" s="17" t="n">
        <v>13</v>
      </c>
      <c r="B17" s="18" t="inlineStr">
        <is>
          <t>Trần phạt</t>
        </is>
      </c>
      <c r="C17" s="19" t="inlineStr">
        <is>
          <t>Điều 18 đoạn chung; 18.3</t>
        </is>
      </c>
      <c r="D17" s="17" t="inlineStr">
        <is>
          <t>PH</t>
        </is>
      </c>
      <c r="E17" s="19" t="inlineStr">
        <is>
          <t>Trần tổng 8% = trần riêng phạt chậm tiến độ 8%.</t>
        </is>
      </c>
      <c r="F17" s="19" t="inlineStr">
        <is>
          <t>Phạt chất lượng, an toàn (Biểu 05) vô hiệu khi đã phạt tiến độ tối đa.</t>
        </is>
      </c>
      <c r="G17" s="18" t="inlineStr">
        <is>
          <t>Trần tổng 12%; trần riêng tiến độ 8%.</t>
        </is>
      </c>
    </row>
    <row r="18" ht="35" customHeight="1">
      <c r="A18" s="17" t="n">
        <v>14</v>
      </c>
      <c r="B18" s="18" t="inlineStr">
        <is>
          <t>Hạ mực nước ngầm, nguồn dự phòng</t>
        </is>
      </c>
      <c r="C18" s="19" t="inlineStr">
        <is>
          <t>9.3b(2) (giữ); 12.2.1h, 12.2.10 (xóa)</t>
        </is>
      </c>
      <c r="D18" s="17" t="inlineStr">
        <is>
          <t>PH</t>
        </is>
      </c>
      <c r="E18" s="19" t="inlineStr">
        <is>
          <t>Giá đã bao gồm chi phí hạ mực nước ngầm nhưng nghĩa vụ bị xóa.</t>
        </is>
      </c>
      <c r="F18" s="19" t="inlineStr">
        <is>
          <t>Bên A trả tiền cho công việc Bên B không có nghĩa vụ làm.</t>
        </is>
      </c>
      <c r="G18" s="18" t="inlineStr">
        <is>
          <t>Khôi phục 12.2.1h, 12.2.10.</t>
        </is>
      </c>
    </row>
    <row r="19" ht="49.5" customHeight="1">
      <c r="A19" s="17" t="n">
        <v>15</v>
      </c>
      <c r="B19" s="18" t="inlineStr">
        <is>
          <t>Sự cố công trình lân cận, hệ cừ</t>
        </is>
      </c>
      <c r="C19" s="19" t="inlineStr">
        <is>
          <t>12.2.1f; 17.2b; P316 (hồ sơ quan trắc)</t>
        </is>
      </c>
      <c r="D19" s="17" t="inlineStr">
        <is>
          <t>PH</t>
        </is>
      </c>
      <c r="E19" s="19" t="inlineStr">
        <is>
          <t>Xóa trách nhiệm bồi thường sự cố lân cận và căn cứ chấm dứt do sự cố cừ; giữ trách nhiệm ổn định hệ cừ.</t>
        </is>
      </c>
      <c r="F19" s="19" t="inlineStr">
        <is>
          <t>Bên B chịu trách nhiệm ổn định cừ nhưng không có chế tài khi gây sự cố cho công trình lân cận.</t>
        </is>
      </c>
      <c r="G19" s="18" t="inlineStr">
        <is>
          <t>Khôi phục câu trách nhiệm sự cố và căn cứ chấm dứt; chấp nhận quan trắc do Bên A thực hiện.</t>
        </is>
      </c>
    </row>
    <row r="20" ht="64" customHeight="1">
      <c r="A20" s="17" t="n">
        <v>16</v>
      </c>
      <c r="B20" s="18" t="inlineStr">
        <is>
          <t>Tạm ứng và dòng tiền</t>
        </is>
      </c>
      <c r="C20" s="19" t="inlineStr">
        <is>
          <t>10.3.1 (30%); 7.2 (ngày bắt đầu phụ thuộc tạm ứng); 10.3.2a (70% chi phí chung, 100% cẩu tháp); 10.3.2b (80% vật tư)</t>
        </is>
      </c>
      <c r="D20" s="17" t="inlineStr">
        <is>
          <t>PH</t>
        </is>
      </c>
      <c r="E20" s="19" t="inlineStr">
        <is>
          <t>Bốn cơ chế đưa tiền sớm cộng dồn.</t>
        </is>
      </c>
      <c r="F20" s="19" t="inlineStr">
        <is>
          <t>Tổng tiền ra trước có thể vượt giá trị hoàn thành; Bên A ứng vốn và chịu rủi ro tín dụng của Bên B.</t>
        </is>
      </c>
      <c r="G20" s="18" t="inlineStr">
        <is>
          <t>Tạm ứng 20%; chi phí chung, cẩu tháp theo tỷ lệ hoàn thành; xóa thanh toán vật tư.</t>
        </is>
      </c>
    </row>
    <row r="21" ht="35" customHeight="1">
      <c r="A21" s="17" t="n">
        <v>17</v>
      </c>
      <c r="B21" s="18" t="inlineStr">
        <is>
          <t>Bảo lãnh thanh toán</t>
        </is>
      </c>
      <c r="C21" s="19" t="inlineStr">
        <is>
          <t>20.4 mới; 20.1, 20.2 (mẫu)</t>
        </is>
      </c>
      <c r="D21" s="17" t="inlineStr">
        <is>
          <t>PH</t>
        </is>
      </c>
      <c r="E21" s="19" t="inlineStr">
        <is>
          <t>20.4 chép nguyên mẫu bảo lãnh của Bên B (ngân hàng “được Bên A chấp thuận”, mẫu Biểu 06).</t>
        </is>
      </c>
      <c r="F21" s="19" t="inlineStr">
        <is>
          <t>Chủ thể sai; nếu giữ, Bên A tự chấp thuận bảo lãnh của chính mình.</t>
        </is>
      </c>
      <c r="G21" s="18" t="inlineStr">
        <is>
          <t>Xóa 20.4.</t>
        </is>
      </c>
    </row>
    <row r="22" ht="64" customHeight="1">
      <c r="A22" s="17" t="n">
        <v>18</v>
      </c>
      <c r="B22" s="18" t="inlineStr">
        <is>
          <t>Đánh số, ký hiệu</t>
        </is>
      </c>
      <c r="C22" s="19" t="inlineStr">
        <is>
          <t>1.20; 3.4; 3.5; 4.1.1; 4.2; Gia hạn; 9.4; 10.3.2; 10.4; 12.2.10; 17.1; 18.5</t>
        </is>
      </c>
      <c r="D22" s="17" t="inlineStr">
        <is>
          <t>PH</t>
        </is>
      </c>
      <c r="E22" s="19" t="inlineStr">
        <is>
          <t>1.20 trống; 3.4 chỉ có a); nhảy 3.4→3.6; “4.1.1..” trống; mất số 4.2; mục “Gia hạn” không số; 9.4 bắt đầu bằng b); hai điểm c) ở 10.3.2; hai khoản 10.4; 12.2.10 còn dấu “.”; 17.1 mất ký hiệu b); nhảy 18.4→18.6.</t>
        </is>
      </c>
      <c r="F22" s="19" t="inlineStr">
        <is>
          <t>Dẫn chiếu chéo sai, khó áp dụng khi tranh chấp.</t>
        </is>
      </c>
      <c r="G22" s="18" t="inlineStr">
        <is>
          <t>Sau khi chốt nội dung, đánh lại số toàn bộ và rà dẫn chiếu chéo.</t>
        </is>
      </c>
    </row>
    <row r="23" ht="93" customHeight="1">
      <c r="A23" s="17" t="n">
        <v>19</v>
      </c>
      <c r="B23" s="18" t="inlineStr">
        <is>
          <t>Dẫn chiếu sai, thuật ngữ, chính tả</t>
        </is>
      </c>
      <c r="C23" s="19" t="inlineStr">
        <is>
          <t>9.4; 12.1; 12.2.11; 13.1; 7.1; 7.2; 10.3.2; 11.2; 17.1; 17.2b</t>
        </is>
      </c>
      <c r="D23" s="17" t="inlineStr">
        <is>
          <t>PH</t>
        </is>
      </c>
      <c r="E23" s="19" t="inlineStr">
        <is>
          <t>“Phụ lục số 01”, “Khoản 6.1 Điều này”, “Mục (vi) Điểm b)”, “Đơn giá cơ sở theo phụ lục”; “Nhà thầu” (không định nghĩa); viết tắt “ps”, “hđ”, “hs”, “cdt”; “Bên Bs”, “rút thiệt”, “công thêm”, “tướng ứng”, “Hồ sơ thanh gồm”, “Trong trường Bên A”, “giao thầu lại toàn việc”, “khỏan”; câu cụt “Hồ sơ thiết kế”, “thí nghiệm, (ngâm nước)”, P540; dấu “..”, “. .”, “,;”.</t>
        </is>
      </c>
      <c r="F23" s="19" t="inlineStr">
        <is>
          <t>Văn bản không đạt chuẩn pháp lý để ký.</t>
        </is>
      </c>
      <c r="G23" s="18" t="inlineStr">
        <is>
          <t>Bên A soạn lại bản sạch trên cơ sở dự thảo A; không ký trên file của PH.</t>
        </is>
      </c>
    </row>
    <row r="24" ht="35" customHeight="1">
      <c r="A24" s="36" t="n">
        <v>20</v>
      </c>
      <c r="B24" s="37" t="inlineStr">
        <is>
          <t>Tiền bảo hành 5% hay 3% (lỗi sẵn có)</t>
        </is>
      </c>
      <c r="C24" s="38" t="inlineStr">
        <is>
          <t>8.2; 10.3.2c (P338, P364); 10.3.2c bảo hành (P370); 20.3 (P619)</t>
        </is>
      </c>
      <c r="D24" s="36" t="inlineStr">
        <is>
          <t>Dự thảo A</t>
        </is>
      </c>
      <c r="E24" s="38" t="inlineStr">
        <is>
          <t>8.2 và P338: giữ 5%, BL bảo hành 5%. P370: giữ 3%. 20.3: BL bảo hành 3%.</t>
        </is>
      </c>
      <c r="F24" s="38" t="inlineStr">
        <is>
          <t>PH sẽ chọn 3%.</t>
        </is>
      </c>
      <c r="G24" s="37" t="inlineStr">
        <is>
          <t>Thống nhất theo HĐ thầu chính: thanh toán 97%, giữ 3% (hoặc 100% khi nộp BL bảo hành 3%).</t>
        </is>
      </c>
    </row>
    <row r="25" ht="35" customHeight="1">
      <c r="A25" s="36" t="n">
        <v>21</v>
      </c>
      <c r="B25" s="37" t="inlineStr">
        <is>
          <t>Mức phạt chậm tiến độ (lỗi sẵn có)</t>
        </is>
      </c>
      <c r="C25" s="38" t="inlineStr">
        <is>
          <t>18.3</t>
        </is>
      </c>
      <c r="D25" s="36" t="inlineStr">
        <is>
          <t>Dự thảo A</t>
        </is>
      </c>
      <c r="E25" s="38" t="inlineStr">
        <is>
          <t>18.3: 0,1% GTHĐ/tuần, tối đa 8%; HĐ thầu chính 0,05%/tuần; BB thương thảo: “đúng tỷ lệ HĐ thầu chính”.</t>
        </is>
      </c>
      <c r="F25" s="38" t="inlineStr">
        <is>
          <t>PH có thể viện dẫn BB thương thảo để giảm.</t>
        </is>
      </c>
      <c r="G25" s="37" t="inlineStr">
        <is>
          <t>Giữ 0,1%/tuần (có lợi cho Bên A); nếu PH yêu cầu thì lùi về 0,05%/tuần theo đúng BB thương thảo.</t>
        </is>
      </c>
    </row>
    <row r="26" ht="35" customHeight="1">
      <c r="A26" s="36" t="n">
        <v>22</v>
      </c>
      <c r="B26" s="37" t="inlineStr">
        <is>
          <t>Số hợp đồng (lỗi sẵn có)</t>
        </is>
      </c>
      <c r="C26" s="38" t="inlineStr">
        <is>
          <t>Trang bìa; phần đầu; Biểu 01</t>
        </is>
      </c>
      <c r="D26" s="36" t="inlineStr">
        <is>
          <t>Dự thảo A + PH</t>
        </is>
      </c>
      <c r="E26" s="38" t="inlineStr">
        <is>
          <t>Ba định dạng số HĐ khác nhau (“HĐXD/VNCNEC-PHC”, “HĐ/VNCNEC-PHC”, “HĐ/YS/BXD”).</t>
        </is>
      </c>
      <c r="F26" s="38" t="inlineStr">
        <is>
          <t>Biểu có thể bị coi là không thuộc HĐ.</t>
        </is>
      </c>
      <c r="G26" s="37" t="inlineStr">
        <is>
          <t>Thống nhất một số HĐ.</t>
        </is>
      </c>
    </row>
    <row r="27" ht="35" customHeight="1">
      <c r="A27" s="39" t="n">
        <v>23</v>
      </c>
      <c r="B27" s="40" t="inlineStr">
        <is>
          <t>Câu thời hạn quyết toán bị cắt cụt</t>
        </is>
      </c>
      <c r="C27" s="41" t="inlineStr">
        <is>
          <t>10.3.2e</t>
        </is>
      </c>
      <c r="D27" s="39" t="inlineStr">
        <is>
          <t>EC_v1</t>
        </is>
      </c>
      <c r="E27" s="41" t="inlineStr">
        <is>
          <t>“Giá trị quyết toán còn lại được thanh toán trong vòng 14 ngày kể từ ngày Bên A” – câu dừng giữa chừng.</t>
        </is>
      </c>
      <c r="F27" s="41" t="inlineStr">
        <is>
          <t>Không xác định được thời hạn quyết toán.</t>
        </is>
      </c>
      <c r="G27" s="40" t="inlineStr">
        <is>
          <t>Đã sửa trong bản Word: 14 ngày kể từ khi CĐT thanh toán quyết toán tương ứng.</t>
        </is>
      </c>
    </row>
    <row r="28" ht="35" customHeight="1">
      <c r="A28" s="39" t="n">
        <v>24</v>
      </c>
      <c r="B28" s="40" t="inlineStr">
        <is>
          <t>Điểm (iii) khoản 13.1 bị cắt cụt</t>
        </is>
      </c>
      <c r="C28" s="41" t="inlineStr">
        <is>
          <t>13.1(iii)</t>
        </is>
      </c>
      <c r="D28" s="39" t="inlineStr">
        <is>
          <t>EC_v1</t>
        </is>
      </c>
      <c r="E28" s="41" t="inlineStr">
        <is>
          <t>Khôi phục (iii) nhưng mất phần “trong thời gian chờ ý kiến…” và trường hợp khẩn cấp; 13.2 vẫn dẫn chiếu “khẩn cấp tại Điều 13.1”.</t>
        </is>
      </c>
      <c r="F28" s="41" t="inlineStr">
        <is>
          <t>Mất nghĩa vụ không trì hoãn và xử lý khẩn cấp.</t>
        </is>
      </c>
      <c r="G28" s="40" t="inlineStr">
        <is>
          <t>Đã khôi phục đủ.</t>
        </is>
      </c>
    </row>
    <row r="29" ht="35" customHeight="1">
      <c r="A29" s="39" t="n">
        <v>25</v>
      </c>
      <c r="B29" s="40" t="inlineStr">
        <is>
          <t>Câu máy phát dự phòng</t>
        </is>
      </c>
      <c r="C29" s="41" t="inlineStr">
        <is>
          <t>12.2.10</t>
        </is>
      </c>
      <c r="D29" s="39" t="inlineStr">
        <is>
          <t>EC_v1</t>
        </is>
      </c>
      <c r="E29" s="41" t="inlineStr">
        <is>
          <t>“. Bên B phải có tránh nhiệm máy phát điện dự phòng…” – sai chính tả, thiếu động từ, không nói chi phí.</t>
        </is>
      </c>
      <c r="F29" s="41" t="inlineStr">
        <is>
          <t>Tranh chấp ai chịu chi phí máy phát.</t>
        </is>
      </c>
      <c r="G29" s="40" t="inlineStr">
        <is>
          <t>Đã viết lại.</t>
        </is>
      </c>
    </row>
    <row r="30" ht="35" customHeight="1">
      <c r="A30" s="39" t="n">
        <v>26</v>
      </c>
      <c r="B30" s="40" t="inlineStr">
        <is>
          <t>Câu bồi thường sự cố lân cận</t>
        </is>
      </c>
      <c r="C30" s="41" t="inlineStr">
        <is>
          <t>12.2.1f</t>
        </is>
      </c>
      <c r="D30" s="39" t="inlineStr">
        <is>
          <t>EC_v1</t>
        </is>
      </c>
      <c r="E30" s="41" t="inlineStr">
        <is>
          <t>Thiếu “chi phí khắc phục”, thiếu dấu chấm, chưa khôi phục trách nhiệm hệ cừ khi nhà thầu đất đào.</t>
        </is>
      </c>
      <c r="F30" s="41" t="inlineStr">
        <is>
          <t>Phạm vi bồi thường hẹp.</t>
        </is>
      </c>
      <c r="G30" s="40" t="inlineStr">
        <is>
          <t>Đã hoàn thiện.</t>
        </is>
      </c>
    </row>
    <row r="31" ht="35" customHeight="1">
      <c r="A31" s="39" t="n">
        <v>27</v>
      </c>
      <c r="B31" s="40" t="inlineStr">
        <is>
          <t>Xóa đồng thời 4.2 và 11.2 (dừng chờ)</t>
        </is>
      </c>
      <c r="C31" s="41" t="inlineStr">
        <is>
          <t>4.2; 11.2; 9.4(v); 17.1(ii)</t>
        </is>
      </c>
      <c r="D31" s="39" t="inlineStr">
        <is>
          <t>EC_v1</t>
        </is>
      </c>
      <c r="E31" s="41" t="inlineStr">
        <is>
          <t>Hai điều có câu loại trừ dừng chờ do CĐT, nhà thầu khác bị xóa, trong khi 9.4(v) và 17.1(ii) vẫn cho PH đòi chi phí tạm dừng.</t>
        </is>
      </c>
      <c r="F31" s="41" t="inlineStr">
        <is>
          <t>PH dùng 9.4(v), 17.1(ii) để đòi chi phí mà không còn câu loại trừ.</t>
        </is>
      </c>
      <c r="G31" s="40" t="inlineStr">
        <is>
          <t>Khôi phục câu 4.2 của dự thảo A, xóa 9.4, sửa 17.1(ii).</t>
        </is>
      </c>
    </row>
    <row r="32" ht="35" customHeight="1">
      <c r="A32" s="39" t="n">
        <v>28</v>
      </c>
      <c r="B32" s="40" t="inlineStr">
        <is>
          <t>Lỗi khoảng trắng</t>
        </is>
      </c>
      <c r="C32" s="41" t="inlineStr">
        <is>
          <t>10.3.2a; 10.3.2e; 17.1(ii); 17.2a(iv)</t>
        </is>
      </c>
      <c r="D32" s="39" t="inlineStr">
        <is>
          <t>EC_v1</t>
        </is>
      </c>
      <c r="E32" s="41" t="inlineStr">
        <is>
          <t>“đề cươngthí”, “các khoảnthanh”, “(nếu có)được”, “Bên B  thực hiện”.</t>
        </is>
      </c>
      <c r="F32" s="41" t="inlineStr">
        <is>
          <t>Hình thức.</t>
        </is>
      </c>
      <c r="G32" s="40" t="inlineStr">
        <is>
          <t>Đã sửa.</t>
        </is>
      </c>
    </row>
  </sheetData>
  <mergeCells count="2">
    <mergeCell ref="A2:G2"/>
    <mergeCell ref="A1:G1"/>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D20"/>
  <sheetViews>
    <sheetView workbookViewId="0">
      <selection activeCell="A1" sqref="A1"/>
    </sheetView>
  </sheetViews>
  <sheetFormatPr baseColWidth="8" defaultRowHeight="15"/>
  <cols>
    <col width="5" customWidth="1" min="1" max="1"/>
    <col width="34" customWidth="1" min="2" max="2"/>
    <col width="30" customWidth="1" min="3" max="3"/>
    <col width="80" customWidth="1" min="4" max="4"/>
  </cols>
  <sheetData>
    <row r="1">
      <c r="A1" s="1" t="inlineStr">
        <is>
          <t>RÀ SOÁT TRÙNG LẶP TOÀN HỢP ĐỒNG – MỖI NỘI DUNG CHỈ QUY ĐỊNH TẠI MỘT ĐIỀU GỐC (BẢN EC_v3)</t>
        </is>
      </c>
    </row>
    <row r="2" ht="30" customHeight="1">
      <c r="A2" s="15" t="inlineStr">
        <is>
          <t>Nguyên tắc: hậu quả của chậm trễ, vi phạm (tiến độ, thanh toán, thực hiện thay, chấm dứt) chỉ quy định tại Điều 18; các điều khác chỉ dẫn chiếu. Thể hiện bằng track changes tác giả “VNCN E&amp;C - Rà soát trùng lặp” trong file EC_v3.</t>
        </is>
      </c>
    </row>
    <row r="4">
      <c r="A4" s="16" t="inlineStr">
        <is>
          <t>STT</t>
        </is>
      </c>
      <c r="B4" s="16" t="inlineStr">
        <is>
          <t>Nội dung</t>
        </is>
      </c>
      <c r="C4" s="16" t="inlineStr">
        <is>
          <t>Điều gốc (giữ lại)</t>
        </is>
      </c>
      <c r="D4" s="16" t="inlineStr">
        <is>
          <t>Các chỗ trùng đã xóa / thay bằng dẫn chiếu</t>
        </is>
      </c>
    </row>
    <row r="5" ht="49.5" customHeight="1">
      <c r="A5" s="17" t="n">
        <v>1</v>
      </c>
      <c r="B5" s="19" t="inlineStr">
        <is>
          <t>Hậu quả chậm tiến độ (phạt, bồi thường, biện pháp khắc phục, đình chỉ)</t>
        </is>
      </c>
      <c r="C5" s="18" t="inlineStr">
        <is>
          <t>Điều 18.3</t>
        </is>
      </c>
      <c r="D5" s="19" t="inlineStr">
        <is>
          <t>7.2e (bồi thường, tăng ca) – xóa; 7.3a, b, c – chuyển vào 18.3, 7.3 chỉ còn dẫn chiếu; 18.3 cũ miễn trừ rộng “không do lỗi CĐT, Bên A, bên thứ ba…” – thay bằng “không được gia hạn theo 7.2 điểm f”.</t>
        </is>
      </c>
    </row>
    <row r="6" ht="35" customHeight="1">
      <c r="A6" s="17" t="n">
        <v>2</v>
      </c>
      <c r="B6" s="19" t="inlineStr">
        <is>
          <t>Bên A tự thực hiện / thuê đơn vị khác thay Bên B</t>
        </is>
      </c>
      <c r="C6" s="18" t="inlineStr">
        <is>
          <t>Điều 18.4 (chi phí quản lý, khấu trừ theo 3.5)</t>
        </is>
      </c>
      <c r="D6" s="19" t="inlineStr">
        <is>
          <t>6.3b, 8.2(i), 12.2.5c, 12.2.8, 12.2.11 (2 đoạn), 12.2.12, 7.3c, 18.4 cũ – thay bằng “xử lý theo Điều 18.4”.</t>
        </is>
      </c>
    </row>
    <row r="7" ht="49.5" customHeight="1">
      <c r="A7" s="17" t="n">
        <v>3</v>
      </c>
      <c r="B7" s="19" t="inlineStr">
        <is>
          <t>Chậm tạm ứng, chậm thanh toán của Bên A</t>
        </is>
      </c>
      <c r="C7" s="18" t="inlineStr">
        <is>
          <t>Điều 18.7 (mới)</t>
        </is>
      </c>
      <c r="D7" s="19" t="inlineStr">
        <is>
          <t>Câu “chậm tạm ứng quá 07 ngày → gia hạn” ở 7.2 ngày bắt đầu; đoạn “CĐT chậm thì lùi” ở 10.3.2e; ngưỡng 45 ngày ở 17.1(iii); ngưỡng 60 ngày ở 17.2c – chuyển về 18.7, các chỗ cũ chỉ dẫn chiếu.</t>
        </is>
      </c>
    </row>
    <row r="8" ht="35" customHeight="1">
      <c r="A8" s="17" t="n">
        <v>4</v>
      </c>
      <c r="B8" s="19" t="inlineStr">
        <is>
          <t>Gia hạn thời gian hoàn thành và chi phí dừng chờ</t>
        </is>
      </c>
      <c r="C8" s="18" t="inlineStr">
        <is>
          <t>Điều 7.2 điểm f (ký hiệu cũ i)</t>
        </is>
      </c>
      <c r="D8" s="19" t="inlineStr">
        <is>
          <t>4.1.2 (đoạn cuối), 15.1b, 16.5, 17.1(ii), 18.3, 18.7 – chỉ dẫn chiếu; bổ sung căn cứ (iv) chậm tạm ứng, (v) tạm dừng theo 17.1(ii) để không còn chỗ nào cho gia hạn ngoài điểm f.</t>
        </is>
      </c>
    </row>
    <row r="9" ht="20.5" customHeight="1">
      <c r="A9" s="17" t="n">
        <v>5</v>
      </c>
      <c r="B9" s="19" t="inlineStr">
        <is>
          <t>Khấu trừ, bù trừ</t>
        </is>
      </c>
      <c r="C9" s="18" t="inlineStr">
        <is>
          <t>Điều 3.5</t>
        </is>
      </c>
      <c r="D9" s="19" t="inlineStr">
        <is>
          <t>10.10 (bù trừ) – gộp vào 3.5 rồi xóa; 11.1 “tạm giữ khoản tiền” – xóa (trùng 10.9).</t>
        </is>
      </c>
    </row>
    <row r="10" ht="35" customHeight="1">
      <c r="A10" s="17" t="n">
        <v>6</v>
      </c>
      <c r="B10" s="19" t="inlineStr">
        <is>
          <t>Sửa chữa sai sót, phá dỡ làm lại, chịu tổn thất</t>
        </is>
      </c>
      <c r="C10" s="18" t="inlineStr">
        <is>
          <t>5.6 (nghĩa vụ) và 18.1 (hậu quả)</t>
        </is>
      </c>
      <c r="D10" s="19" t="inlineStr">
        <is>
          <t>4.3 (vế sau), 5.7, 5.8, 5.9 – xóa; 5.10 đánh lại thành 5.7.</t>
        </is>
      </c>
    </row>
    <row r="11" ht="35" customHeight="1">
      <c r="A11" s="17" t="n">
        <v>7</v>
      </c>
      <c r="B11" s="19" t="inlineStr">
        <is>
          <t>Điều chỉnh tiến độ</t>
        </is>
      </c>
      <c r="C11" s="18" t="inlineStr">
        <is>
          <t>Điều 15.1a</t>
        </is>
      </c>
      <c r="D11" s="19" t="inlineStr">
        <is>
          <t>7.2f cũ (lập tiến độ điều chỉnh) và vế “điều chỉnh tiến độ theo yêu cầu” ở 7.2c – xóa, nội dung gộp vào 15.1a.</t>
        </is>
      </c>
    </row>
    <row r="12" ht="35" customHeight="1">
      <c r="A12" s="17" t="n">
        <v>8</v>
      </c>
      <c r="B12" s="19" t="inlineStr">
        <is>
          <t>Huy động nhân lực, thiết bị theo tiến độ</t>
        </is>
      </c>
      <c r="C12" s="18" t="inlineStr">
        <is>
          <t>Điều 7.2 điểm b</t>
        </is>
      </c>
      <c r="D12" s="19" t="inlineStr">
        <is>
          <t>7.2 điểm d cũ – xóa, gộp “bảo đảm Bên A hoàn thành nghĩa vụ theo HĐ thầu chính” vào điểm b. Ký hiệu g, h, i → d, e, f.</t>
        </is>
      </c>
    </row>
    <row r="13" ht="49.5" customHeight="1">
      <c r="A13" s="17" t="n">
        <v>9</v>
      </c>
      <c r="B13" s="19" t="inlineStr">
        <is>
          <t>Hồ sơ và thời hạn quyết toán</t>
        </is>
      </c>
      <c r="C13" s="18" t="inlineStr">
        <is>
          <t>Điều 19.1</t>
        </is>
      </c>
      <c r="D13" s="19" t="inlineStr">
        <is>
          <t>Danh mục hồ sơ quyết toán ở 10.3.2b – xóa, gộp thành phần còn thiếu vào 19.1(ii); thời hạn xem xét 30 ngày (10.3.2b) và 28 ngày (19.1iii) – thống nhất 30 ngày tại 19.1(iii). 10.3.2b chỉ còn tỷ lệ thanh toán 97%/3%.</t>
        </is>
      </c>
    </row>
    <row r="14" ht="35" customHeight="1">
      <c r="A14" s="17" t="n">
        <v>10</v>
      </c>
      <c r="B14" s="19" t="inlineStr">
        <is>
          <t>Hồ sơ thanh toán chung</t>
        </is>
      </c>
      <c r="C14" s="18" t="inlineStr">
        <is>
          <t>Điều 10.3.2a (danh mục), 10.5 (nội dung công văn, phiếu giá)</t>
        </is>
      </c>
      <c r="D14" s="19" t="inlineStr">
        <is>
          <t>10.5 a, b, c – rút gọn, bỏ phần trùng hóa đơn; dẫn chiếu 10.3.2, 19.1.</t>
        </is>
      </c>
    </row>
    <row r="15" ht="20.5" customHeight="1">
      <c r="A15" s="17" t="n">
        <v>11</v>
      </c>
      <c r="B15" s="19" t="inlineStr">
        <is>
          <t>Thanh toán phát sinh</t>
        </is>
      </c>
      <c r="C15" s="18" t="inlineStr">
        <is>
          <t>Điều 10.3.2 (cùng kỳ thanh toán)</t>
        </is>
      </c>
      <c r="D15" s="19" t="inlineStr">
        <is>
          <t>13.2 “14 ngày làm việc” – thay bằng thanh toán cùng kỳ theo 10.3.2 (tránh thời hạn thứ hai).</t>
        </is>
      </c>
    </row>
    <row r="16" ht="20.5" customHeight="1">
      <c r="A16" s="17" t="n">
        <v>12</v>
      </c>
      <c r="B16" s="19" t="inlineStr">
        <is>
          <t>Thanh toán khi chấm dứt do lỗi Bên A</t>
        </is>
      </c>
      <c r="C16" s="18" t="inlineStr">
        <is>
          <t>Điều 18.6b</t>
        </is>
      </c>
      <c r="D16" s="19" t="inlineStr">
        <is>
          <t>17.2d(viii) – xóa, gộp vào 18.6b (trước đây 2 cách tính khác nhau).</t>
        </is>
      </c>
    </row>
    <row r="17" ht="20.5" customHeight="1">
      <c r="A17" s="17" t="n">
        <v>13</v>
      </c>
      <c r="B17" s="19" t="inlineStr">
        <is>
          <t>Hoàn trả tiền bảo hành</t>
        </is>
      </c>
      <c r="C17" s="18" t="inlineStr">
        <is>
          <t>Điều 10.3.2c</t>
        </is>
      </c>
      <c r="D17" s="19" t="inlineStr">
        <is>
          <t>8.2(iii) – rút gọn thành dẫn chiếu.</t>
        </is>
      </c>
    </row>
    <row r="18" ht="20.5" customHeight="1">
      <c r="A18" s="17" t="n">
        <v>14</v>
      </c>
      <c r="B18" s="19" t="inlineStr">
        <is>
          <t>Điều chỉnh phạm vi công việc</t>
        </is>
      </c>
      <c r="C18" s="18" t="inlineStr">
        <is>
          <t>Điều 4.1.1</t>
        </is>
      </c>
      <c r="D18" s="19" t="inlineStr">
        <is>
          <t>11.1 – thay bằng dẫn chiếu 4.1.1.</t>
        </is>
      </c>
    </row>
    <row r="19" ht="20.5" customHeight="1">
      <c r="A19" s="17" t="n">
        <v>15</v>
      </c>
      <c r="B19" s="19" t="inlineStr">
        <is>
          <t>Điều kiện công trường</t>
        </is>
      </c>
      <c r="C19" s="18" t="inlineStr">
        <is>
          <t>Điều 9.2</t>
        </is>
      </c>
      <c r="D19" s="19" t="inlineStr">
        <is>
          <t>12.2.9 – rút gọn thành dẫn chiếu, chỉ giữ ý không gia hạn.</t>
        </is>
      </c>
    </row>
    <row r="20" ht="20.5" customHeight="1">
      <c r="A20" s="17" t="n">
        <v>16</v>
      </c>
      <c r="B20" s="19" t="inlineStr">
        <is>
          <t>Vật liệu do Bên B cung cấp</t>
        </is>
      </c>
      <c r="C20" s="18" t="inlineStr">
        <is>
          <t>Điều 14.1</t>
        </is>
      </c>
      <c r="D20" s="19" t="inlineStr">
        <is>
          <t>9.3c – xóa.</t>
        </is>
      </c>
    </row>
  </sheetData>
  <mergeCells count="2">
    <mergeCell ref="A1:D1"/>
    <mergeCell ref="A2:D2"/>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2026-10-16T04:03:37Z</dcterms:created>
  <dcterms:modified xmlns:dcterms="http://purl.org/dc/terms/" xmlns:xsi="http://www.w3.org/2001/XMLSchema-instance" xsi:type="dcterms:W3CDTF">2026-10-16T04:03:37Z</dcterms:modified>
</cp:coreProperties>
</file>